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mallorym\Documents\GitHub\usedcarprices\"/>
    </mc:Choice>
  </mc:AlternateContent>
  <bookViews>
    <workbookView xWindow="0" yWindow="0" windowWidth="28800" windowHeight="11415"/>
  </bookViews>
  <sheets>
    <sheet name="HondaOdyssey" sheetId="1" r:id="rId1"/>
  </sheets>
  <calcPr calcId="0"/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" i="1"/>
</calcChain>
</file>

<file path=xl/sharedStrings.xml><?xml version="1.0" encoding="utf-8"?>
<sst xmlns="http://schemas.openxmlformats.org/spreadsheetml/2006/main" count="37" uniqueCount="37">
  <si>
    <t>Year</t>
  </si>
  <si>
    <t>Desc</t>
  </si>
  <si>
    <t>AvePrice</t>
  </si>
  <si>
    <t>Odyssey Value Lost Per Year</t>
  </si>
  <si>
    <t>Forester Value Lost Per Year</t>
  </si>
  <si>
    <t>1999 Honda Odyssey</t>
  </si>
  <si>
    <t>2000 Honda Odyssey</t>
  </si>
  <si>
    <t>2001 Honda Odyssey</t>
  </si>
  <si>
    <t>2002 Honda Odyssey</t>
  </si>
  <si>
    <t>2003 Honda Odyssey</t>
  </si>
  <si>
    <t>2004 Honda Odyssey</t>
  </si>
  <si>
    <t>2005 Honda Odyssey</t>
  </si>
  <si>
    <t>2006 Honda Odyssey</t>
  </si>
  <si>
    <t>2007 Honda Odyssey</t>
  </si>
  <si>
    <t>2008 Honda Odyssey</t>
  </si>
  <si>
    <t>2009 Honda Odyssey</t>
  </si>
  <si>
    <t>2010 Honda Odyssey</t>
  </si>
  <si>
    <t>2011 Honda Odyssey</t>
  </si>
  <si>
    <t>2012 Honda Odyssey</t>
  </si>
  <si>
    <t>2013 Honda Odyssey</t>
  </si>
  <si>
    <t>2014 Honda Odyssey</t>
  </si>
  <si>
    <t>2015 Honda Odyssey</t>
  </si>
  <si>
    <t>2016 Honda Odyssey</t>
  </si>
  <si>
    <t>2017 Honda Odyssey</t>
  </si>
  <si>
    <t>2018 Honda Odyssey</t>
  </si>
  <si>
    <t>2007 Honda Fit</t>
  </si>
  <si>
    <t>2008 Honda Fit</t>
  </si>
  <si>
    <t>2009 Honda Fit</t>
  </si>
  <si>
    <t>2010 Honda Fit</t>
  </si>
  <si>
    <t>2011 Honda Fit</t>
  </si>
  <si>
    <t>2012 Honda Fit</t>
  </si>
  <si>
    <t>2013 Honda Fit</t>
  </si>
  <si>
    <t>2015 Honda Fit</t>
  </si>
  <si>
    <t>2016 Honda Fit</t>
  </si>
  <si>
    <t>2017 Honda Fit</t>
  </si>
  <si>
    <t>2018 Honda Fit</t>
  </si>
  <si>
    <t>Fit Value Lost Per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</si>
</sst>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6" fontId="0" fillId="0" borderId="0" xfId="0" applyNumberFormat="1"/>
    <xf numFmtId="0" fontId="0" fillId="0" borderId="0" xfId="0" applyAlignment="1">
      <alignment vertical="center" wrapText="1"/>
    </xf>
    <xf numFmtId="6" fontId="0" fillId="0" borderId="0" xfId="0" applyNumberFormat="1" applyAlignment="1">
      <alignment vertical="center" wrapText="1"/>
    </xf>
    <xf numFmtId="10" fontId="0" fillId="0" borderId="0" xfId="0" applyNumberForma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Lost Per Year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HondaOdyssey!$E$1</c:f>
              <c:strCache>
                <c:ptCount val="1"/>
                <c:pt idx="0">
                  <c:v>Odyssey Value Lost Per Year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HondaOdyssey!$A$2:$A$21</c:f>
              <c:numCache>
                <c:formatCode>General</c:formatCode>
                <c:ptCount val="20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16</c:v>
                </c:pt>
                <c:pt idx="4">
                  <c:v>15</c:v>
                </c:pt>
                <c:pt idx="5">
                  <c:v>14</c:v>
                </c:pt>
                <c:pt idx="6">
                  <c:v>13</c:v>
                </c:pt>
                <c:pt idx="7">
                  <c:v>12</c:v>
                </c:pt>
                <c:pt idx="8">
                  <c:v>11</c:v>
                </c:pt>
                <c:pt idx="9">
                  <c:v>10</c:v>
                </c:pt>
                <c:pt idx="10">
                  <c:v>9</c:v>
                </c:pt>
                <c:pt idx="11">
                  <c:v>8</c:v>
                </c:pt>
                <c:pt idx="12">
                  <c:v>7</c:v>
                </c:pt>
                <c:pt idx="13">
                  <c:v>6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HondaOdyssey!$E$2:$E$21</c:f>
              <c:numCache>
                <c:formatCode>"$"#,##0_);[Red]\("$"#,##0\)</c:formatCode>
                <c:ptCount val="20"/>
                <c:pt idx="0">
                  <c:v>-358</c:v>
                </c:pt>
                <c:pt idx="1">
                  <c:v>-415</c:v>
                </c:pt>
                <c:pt idx="2">
                  <c:v>-483</c:v>
                </c:pt>
                <c:pt idx="3">
                  <c:v>-561</c:v>
                </c:pt>
                <c:pt idx="4">
                  <c:v>-652</c:v>
                </c:pt>
                <c:pt idx="5">
                  <c:v>-757</c:v>
                </c:pt>
                <c:pt idx="6">
                  <c:v>-879</c:v>
                </c:pt>
                <c:pt idx="7">
                  <c:v>-1022</c:v>
                </c:pt>
                <c:pt idx="8">
                  <c:v>-1187</c:v>
                </c:pt>
                <c:pt idx="9">
                  <c:v>-1379</c:v>
                </c:pt>
                <c:pt idx="10">
                  <c:v>-1603</c:v>
                </c:pt>
                <c:pt idx="11">
                  <c:v>-1862</c:v>
                </c:pt>
                <c:pt idx="12">
                  <c:v>-2163</c:v>
                </c:pt>
                <c:pt idx="13">
                  <c:v>-2513</c:v>
                </c:pt>
                <c:pt idx="14">
                  <c:v>-2920</c:v>
                </c:pt>
                <c:pt idx="15">
                  <c:v>-3393</c:v>
                </c:pt>
                <c:pt idx="16">
                  <c:v>-3942</c:v>
                </c:pt>
                <c:pt idx="17">
                  <c:v>-4579</c:v>
                </c:pt>
                <c:pt idx="18">
                  <c:v>-5321</c:v>
                </c:pt>
                <c:pt idx="19">
                  <c:v>-6182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7-451D-9761-799A07848911}"/>
            </c:ext>
          </c:extLst>
        </c:ser>
        <c:ser>
          <c:idx val="1"/>
          <c:order val="1"/>
          <c:tx>
            <c:strRef>
              <c:f>HondaOdyssey!$F$1</c:f>
              <c:strCache>
                <c:ptCount val="1"/>
                <c:pt idx="0">
                  <c:v>Forester Value Lost Per Year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HondaOdyssey!$A$2:$A$21</c:f>
              <c:numCache>
                <c:formatCode>General</c:formatCode>
                <c:ptCount val="20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16</c:v>
                </c:pt>
                <c:pt idx="4">
                  <c:v>15</c:v>
                </c:pt>
                <c:pt idx="5">
                  <c:v>14</c:v>
                </c:pt>
                <c:pt idx="6">
                  <c:v>13</c:v>
                </c:pt>
                <c:pt idx="7">
                  <c:v>12</c:v>
                </c:pt>
                <c:pt idx="8">
                  <c:v>11</c:v>
                </c:pt>
                <c:pt idx="9">
                  <c:v>10</c:v>
                </c:pt>
                <c:pt idx="10">
                  <c:v>9</c:v>
                </c:pt>
                <c:pt idx="11">
                  <c:v>8</c:v>
                </c:pt>
                <c:pt idx="12">
                  <c:v>7</c:v>
                </c:pt>
                <c:pt idx="13">
                  <c:v>6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HondaOdyssey!$F$2:$F$21</c:f>
              <c:numCache>
                <c:formatCode>"$"#,##0_);[Red]\("$"#,##0\)</c:formatCode>
                <c:ptCount val="20"/>
                <c:pt idx="0">
                  <c:v>-361</c:v>
                </c:pt>
                <c:pt idx="1">
                  <c:v>-406</c:v>
                </c:pt>
                <c:pt idx="2">
                  <c:v>-456</c:v>
                </c:pt>
                <c:pt idx="3">
                  <c:v>-512</c:v>
                </c:pt>
                <c:pt idx="4">
                  <c:v>-575</c:v>
                </c:pt>
                <c:pt idx="5">
                  <c:v>-645</c:v>
                </c:pt>
                <c:pt idx="6">
                  <c:v>-725</c:v>
                </c:pt>
                <c:pt idx="7">
                  <c:v>-814</c:v>
                </c:pt>
                <c:pt idx="8">
                  <c:v>-914</c:v>
                </c:pt>
                <c:pt idx="9">
                  <c:v>-1026</c:v>
                </c:pt>
                <c:pt idx="10">
                  <c:v>-1153</c:v>
                </c:pt>
                <c:pt idx="11">
                  <c:v>-1294</c:v>
                </c:pt>
                <c:pt idx="12">
                  <c:v>-1454</c:v>
                </c:pt>
                <c:pt idx="13">
                  <c:v>-1633</c:v>
                </c:pt>
                <c:pt idx="14">
                  <c:v>-1833</c:v>
                </c:pt>
                <c:pt idx="15">
                  <c:v>-2059</c:v>
                </c:pt>
                <c:pt idx="16">
                  <c:v>-2312</c:v>
                </c:pt>
                <c:pt idx="17">
                  <c:v>-2596</c:v>
                </c:pt>
                <c:pt idx="18">
                  <c:v>-2916</c:v>
                </c:pt>
                <c:pt idx="19">
                  <c:v>-3274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7-451D-9761-799A07848911}"/>
            </c:ext>
          </c:extLst>
        </c:ser>
        <c:ser>
          <c:idx val="2"/>
          <c:order val="2"/>
          <c:tx>
            <c:strRef>
              <c:f>HondaOdyssey!$G$1</c:f>
              <c:strCache>
                <c:ptCount val="1"/>
                <c:pt idx="0">
                  <c:v>Fit Value Lost Per Year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HondaOdyssey!$A$2:$A$21</c:f>
              <c:numCache>
                <c:formatCode>General</c:formatCode>
                <c:ptCount val="20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16</c:v>
                </c:pt>
                <c:pt idx="4">
                  <c:v>15</c:v>
                </c:pt>
                <c:pt idx="5">
                  <c:v>14</c:v>
                </c:pt>
                <c:pt idx="6">
                  <c:v>13</c:v>
                </c:pt>
                <c:pt idx="7">
                  <c:v>12</c:v>
                </c:pt>
                <c:pt idx="8">
                  <c:v>11</c:v>
                </c:pt>
                <c:pt idx="9">
                  <c:v>10</c:v>
                </c:pt>
                <c:pt idx="10">
                  <c:v>9</c:v>
                </c:pt>
                <c:pt idx="11">
                  <c:v>8</c:v>
                </c:pt>
                <c:pt idx="12">
                  <c:v>7</c:v>
                </c:pt>
                <c:pt idx="13">
                  <c:v>6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HondaOdyssey!$G$2:$G$21</c:f>
              <c:numCache>
                <c:formatCode>General</c:formatCode>
                <c:ptCount val="20"/>
                <c:pt idx="0">
                  <c:v>-230.54354022423735</c:v>
                </c:pt>
                <c:pt idx="1">
                  <c:v>-260.19718288243712</c:v>
                </c:pt>
                <c:pt idx="2">
                  <c:v>-293.66502272892041</c:v>
                </c:pt>
                <c:pt idx="3">
                  <c:v>-331.43766054278183</c:v>
                </c:pt>
                <c:pt idx="4">
                  <c:v>-374.0688005853346</c:v>
                </c:pt>
                <c:pt idx="5">
                  <c:v>-422.18336727998076</c:v>
                </c:pt>
                <c:pt idx="6">
                  <c:v>-476.4866658993185</c:v>
                </c:pt>
                <c:pt idx="7">
                  <c:v>-537.77472154482621</c:v>
                </c:pt>
                <c:pt idx="8">
                  <c:v>-606.94594797690229</c:v>
                </c:pt>
                <c:pt idx="9">
                  <c:v>-685.01431734714583</c:v>
                </c:pt>
                <c:pt idx="10">
                  <c:v>-773.12422388629841</c:v>
                </c:pt>
                <c:pt idx="11">
                  <c:v>-872.56725943274444</c:v>
                </c:pt>
                <c:pt idx="12">
                  <c:v>-984.80114671189472</c:v>
                </c:pt>
                <c:pt idx="13">
                  <c:v>-1111.4711079069718</c:v>
                </c:pt>
                <c:pt idx="14">
                  <c:v>-1254.4339817603409</c:v>
                </c:pt>
                <c:pt idx="15">
                  <c:v>-1415.7854427348832</c:v>
                </c:pt>
                <c:pt idx="16">
                  <c:v>-1597.8907212376187</c:v>
                </c:pt>
                <c:pt idx="17">
                  <c:v>-1803.4192752293995</c:v>
                </c:pt>
                <c:pt idx="18">
                  <c:v>-2035.3839214673599</c:v>
                </c:pt>
                <c:pt idx="19">
                  <c:v>-2297.1849999999999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D7-451D-9761-799A07848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426064"/>
        <c:axId val="1657415248"/>
      </c:scatterChart>
      <c:valAx>
        <c:axId val="165742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415248"/>
        <c:crosses val="autoZero"/>
        <c:crossBetween val="midCat"/>
      </c:valAx>
      <c:valAx>
        <c:axId val="165741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426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0.41928010664846826"/>
                  <c:y val="-6.447124538942980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HondaOdyssey!$B$24:$B$34</c:f>
              <c:numCache>
                <c:formatCode>General</c:formatCode>
                <c:ptCount val="11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</c:numCache>
            </c:numRef>
          </c:xVal>
          <c:yVal>
            <c:numRef>
              <c:f>HondaOdyssey!$E$24:$E$34</c:f>
              <c:numCache>
                <c:formatCode>"$"#,##0_);[Red]\("$"#,##0\)</c:formatCode>
                <c:ptCount val="11"/>
                <c:pt idx="0">
                  <c:v>5774</c:v>
                </c:pt>
                <c:pt idx="1">
                  <c:v>6248</c:v>
                </c:pt>
                <c:pt idx="2">
                  <c:v>7374</c:v>
                </c:pt>
                <c:pt idx="3">
                  <c:v>8239</c:v>
                </c:pt>
                <c:pt idx="4">
                  <c:v>9086</c:v>
                </c:pt>
                <c:pt idx="5">
                  <c:v>9881</c:v>
                </c:pt>
                <c:pt idx="6">
                  <c:v>11188</c:v>
                </c:pt>
                <c:pt idx="7">
                  <c:v>14258</c:v>
                </c:pt>
                <c:pt idx="8">
                  <c:v>15151</c:v>
                </c:pt>
                <c:pt idx="9">
                  <c:v>16770</c:v>
                </c:pt>
                <c:pt idx="10">
                  <c:v>18737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1-4667-ABBE-5D08FC011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363168"/>
        <c:axId val="1501356928"/>
      </c:scatterChart>
      <c:valAx>
        <c:axId val="1501363168"/>
        <c:scaling>
          <c:orientation val="minMax"/>
        </c:scaling>
        <c:delete val="0"/>
        <c:axPos val="b"/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356928"/>
        <c:crosses val="autoZero"/>
        <c:crossBetween val="midCat"/>
      </c:valAx>
      <c:valAx>
        <c:axId val="15013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_);[Red]\(&quot;$&quot;#,##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363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144628773170435"/>
          <c:y val="0.1807179183105658"/>
          <c:w val="0.31855371226829565"/>
          <c:h val="0.189658014680250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390525</xdr:colOff>
      <xdr:row>2</xdr:row>
      <xdr:rowOff>157163</xdr:rowOff>
    </xdr:from>
    <xdr:to>
      <xdr:col>17</xdr:col>
      <xdr:colOff>259556</xdr:colOff>
      <xdr:row>25</xdr:row>
      <xdr:rowOff>311943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1</xdr:col>
          <xdr:colOff>261938</xdr:colOff>
          <xdr:row>24</xdr:row>
          <xdr:rowOff>276225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1</xdr:col>
          <xdr:colOff>261938</xdr:colOff>
          <xdr:row>25</xdr:row>
          <xdr:rowOff>276225</xdr:rowOff>
        </xdr:to>
        <xdr:sp macro="" textlink="">
          <xdr:nvSpPr>
            <xdr:cNvPr id="1026" name="Control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1</xdr:col>
          <xdr:colOff>261938</xdr:colOff>
          <xdr:row>26</xdr:row>
          <xdr:rowOff>276225</xdr:rowOff>
        </xdr:to>
        <xdr:sp macro="" textlink="">
          <xdr:nvSpPr>
            <xdr:cNvPr id="1027" name="Control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261938</xdr:colOff>
          <xdr:row>27</xdr:row>
          <xdr:rowOff>276225</xdr:rowOff>
        </xdr:to>
        <xdr:sp macro="" textlink="">
          <xdr:nvSpPr>
            <xdr:cNvPr id="1028" name="Control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1</xdr:col>
          <xdr:colOff>261938</xdr:colOff>
          <xdr:row>28</xdr:row>
          <xdr:rowOff>276225</xdr:rowOff>
        </xdr:to>
        <xdr:sp macro="" textlink="">
          <xdr:nvSpPr>
            <xdr:cNvPr id="1029" name="Control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1</xdr:col>
          <xdr:colOff>261938</xdr:colOff>
          <xdr:row>29</xdr:row>
          <xdr:rowOff>276225</xdr:rowOff>
        </xdr:to>
        <xdr:sp macro="" textlink="">
          <xdr:nvSpPr>
            <xdr:cNvPr id="1030" name="Control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1</xdr:col>
          <xdr:colOff>261938</xdr:colOff>
          <xdr:row>30</xdr:row>
          <xdr:rowOff>276225</xdr:rowOff>
        </xdr:to>
        <xdr:sp macro="" textlink="">
          <xdr:nvSpPr>
            <xdr:cNvPr id="1031" name="Control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1</xdr:col>
          <xdr:colOff>261938</xdr:colOff>
          <xdr:row>31</xdr:row>
          <xdr:rowOff>276225</xdr:rowOff>
        </xdr:to>
        <xdr:sp macro="" textlink="">
          <xdr:nvSpPr>
            <xdr:cNvPr id="1032" name="Control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1</xdr:col>
          <xdr:colOff>261938</xdr:colOff>
          <xdr:row>32</xdr:row>
          <xdr:rowOff>276225</xdr:rowOff>
        </xdr:to>
        <xdr:sp macro="" textlink="">
          <xdr:nvSpPr>
            <xdr:cNvPr id="1033" name="Control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1</xdr:col>
          <xdr:colOff>261938</xdr:colOff>
          <xdr:row>33</xdr:row>
          <xdr:rowOff>276225</xdr:rowOff>
        </xdr:to>
        <xdr:sp macro="" textlink="">
          <xdr:nvSpPr>
            <xdr:cNvPr id="1034" name="Control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18</xdr:col>
      <xdr:colOff>223838</xdr:colOff>
      <xdr:row>11</xdr:row>
      <xdr:rowOff>33339</xdr:rowOff>
    </xdr:from>
    <xdr:to>
      <xdr:col>26</xdr:col>
      <xdr:colOff>173831</xdr:colOff>
      <xdr:row>25</xdr:row>
      <xdr:rowOff>207169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3" Type="http://schemas.openxmlformats.org/officeDocument/2006/relationships/control" Target="../activeX/activeX1.xml"/><Relationship Id="rId7" Type="http://schemas.openxmlformats.org/officeDocument/2006/relationships/image" Target="../media/image2.emf"/><Relationship Id="rId12" Type="http://schemas.openxmlformats.org/officeDocument/2006/relationships/control" Target="../activeX/activeX7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3.xml"/><Relationship Id="rId11" Type="http://schemas.openxmlformats.org/officeDocument/2006/relationships/control" Target="../activeX/activeX6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10" Type="http://schemas.openxmlformats.org/officeDocument/2006/relationships/image" Target="../media/image3.emf"/><Relationship Id="rId4" Type="http://schemas.openxmlformats.org/officeDocument/2006/relationships/image" Target="../media/image1.emf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4"/>
  <sheetViews>
    <sheetView tabSelected="1" workbookViewId="0">
      <selection activeCell="I4" sqref="I4"/>
    </sheetView>
  </sheetViews>
  <sheetFormatPr defaultRowHeight="14.25" x14ac:dyDescent="0.45"/>
  <cols>
    <col min="3" max="3" width="19.86328125" customWidth="1"/>
    <col min="5" max="5" width="15.33203125" customWidth="1"/>
  </cols>
  <sheetData>
    <row r="1" spans="1:7" x14ac:dyDescent="0.4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36</v>
      </c>
    </row>
    <row r="2" spans="1:7" x14ac:dyDescent="0.45">
      <c r="A2">
        <v>19</v>
      </c>
      <c r="B2">
        <v>1999</v>
      </c>
      <c r="C2" t="s">
        <v>5</v>
      </c>
      <c r="D2">
        <v>2809</v>
      </c>
      <c r="E2" s="1">
        <v>-358</v>
      </c>
      <c r="F2" s="1">
        <v>-361</v>
      </c>
      <c r="G2">
        <f>-0.121*18985*EXP(-0.121*A2)</f>
        <v>-230.54354022423735</v>
      </c>
    </row>
    <row r="3" spans="1:7" x14ac:dyDescent="0.45">
      <c r="A3">
        <v>18</v>
      </c>
      <c r="B3">
        <v>2000</v>
      </c>
      <c r="C3" t="s">
        <v>6</v>
      </c>
      <c r="D3">
        <v>2944</v>
      </c>
      <c r="E3" s="1">
        <v>-415</v>
      </c>
      <c r="F3" s="1">
        <v>-406</v>
      </c>
      <c r="G3">
        <f t="shared" ref="G3:G21" si="0">-0.121*18985*EXP(-0.121*A3)</f>
        <v>-260.19718288243712</v>
      </c>
    </row>
    <row r="4" spans="1:7" x14ac:dyDescent="0.45">
      <c r="A4">
        <v>17</v>
      </c>
      <c r="B4">
        <v>2001</v>
      </c>
      <c r="C4" t="s">
        <v>7</v>
      </c>
      <c r="D4">
        <v>3612</v>
      </c>
      <c r="E4" s="1">
        <v>-483</v>
      </c>
      <c r="F4" s="1">
        <v>-456</v>
      </c>
      <c r="G4">
        <f t="shared" si="0"/>
        <v>-293.66502272892041</v>
      </c>
    </row>
    <row r="5" spans="1:7" x14ac:dyDescent="0.45">
      <c r="A5">
        <v>16</v>
      </c>
      <c r="B5">
        <v>2002</v>
      </c>
      <c r="C5" t="s">
        <v>8</v>
      </c>
      <c r="D5">
        <v>3385</v>
      </c>
      <c r="E5" s="1">
        <v>-561</v>
      </c>
      <c r="F5" s="1">
        <v>-512</v>
      </c>
      <c r="G5">
        <f t="shared" si="0"/>
        <v>-331.43766054278183</v>
      </c>
    </row>
    <row r="6" spans="1:7" x14ac:dyDescent="0.45">
      <c r="A6">
        <v>15</v>
      </c>
      <c r="B6">
        <v>2003</v>
      </c>
      <c r="C6" t="s">
        <v>9</v>
      </c>
      <c r="D6">
        <v>3819</v>
      </c>
      <c r="E6" s="1">
        <v>-652</v>
      </c>
      <c r="F6" s="1">
        <v>-575</v>
      </c>
      <c r="G6">
        <f t="shared" si="0"/>
        <v>-374.0688005853346</v>
      </c>
    </row>
    <row r="7" spans="1:7" x14ac:dyDescent="0.45">
      <c r="A7">
        <v>14</v>
      </c>
      <c r="B7">
        <v>2004</v>
      </c>
      <c r="C7" t="s">
        <v>10</v>
      </c>
      <c r="D7">
        <v>4235</v>
      </c>
      <c r="E7" s="1">
        <v>-757</v>
      </c>
      <c r="F7" s="1">
        <v>-645</v>
      </c>
      <c r="G7">
        <f t="shared" si="0"/>
        <v>-422.18336727998076</v>
      </c>
    </row>
    <row r="8" spans="1:7" x14ac:dyDescent="0.45">
      <c r="A8">
        <v>13</v>
      </c>
      <c r="B8">
        <v>2005</v>
      </c>
      <c r="C8" t="s">
        <v>11</v>
      </c>
      <c r="D8">
        <v>5845</v>
      </c>
      <c r="E8" s="1">
        <v>-879</v>
      </c>
      <c r="F8" s="1">
        <v>-725</v>
      </c>
      <c r="G8">
        <f t="shared" si="0"/>
        <v>-476.4866658993185</v>
      </c>
    </row>
    <row r="9" spans="1:7" x14ac:dyDescent="0.45">
      <c r="A9">
        <v>12</v>
      </c>
      <c r="B9">
        <v>2006</v>
      </c>
      <c r="C9" t="s">
        <v>12</v>
      </c>
      <c r="D9">
        <v>6458</v>
      </c>
      <c r="E9" s="1">
        <v>-1022</v>
      </c>
      <c r="F9" s="1">
        <v>-814</v>
      </c>
      <c r="G9">
        <f t="shared" si="0"/>
        <v>-537.77472154482621</v>
      </c>
    </row>
    <row r="10" spans="1:7" x14ac:dyDescent="0.45">
      <c r="A10">
        <v>11</v>
      </c>
      <c r="B10">
        <v>2007</v>
      </c>
      <c r="C10" t="s">
        <v>13</v>
      </c>
      <c r="D10">
        <v>7549</v>
      </c>
      <c r="E10" s="1">
        <v>-1187</v>
      </c>
      <c r="F10" s="1">
        <v>-914</v>
      </c>
      <c r="G10">
        <f t="shared" si="0"/>
        <v>-606.94594797690229</v>
      </c>
    </row>
    <row r="11" spans="1:7" x14ac:dyDescent="0.45">
      <c r="A11">
        <v>10</v>
      </c>
      <c r="B11">
        <v>2008</v>
      </c>
      <c r="C11" t="s">
        <v>14</v>
      </c>
      <c r="D11">
        <v>8757</v>
      </c>
      <c r="E11" s="1">
        <v>-1379</v>
      </c>
      <c r="F11" s="1">
        <v>-1026</v>
      </c>
      <c r="G11">
        <f t="shared" si="0"/>
        <v>-685.01431734714583</v>
      </c>
    </row>
    <row r="12" spans="1:7" x14ac:dyDescent="0.45">
      <c r="A12">
        <v>9</v>
      </c>
      <c r="B12">
        <v>2009</v>
      </c>
      <c r="C12" t="s">
        <v>15</v>
      </c>
      <c r="D12">
        <v>10008</v>
      </c>
      <c r="E12" s="1">
        <v>-1603</v>
      </c>
      <c r="F12" s="1">
        <v>-1153</v>
      </c>
      <c r="G12">
        <f t="shared" si="0"/>
        <v>-773.12422388629841</v>
      </c>
    </row>
    <row r="13" spans="1:7" x14ac:dyDescent="0.45">
      <c r="A13">
        <v>8</v>
      </c>
      <c r="B13">
        <v>2010</v>
      </c>
      <c r="C13" t="s">
        <v>16</v>
      </c>
      <c r="D13">
        <v>11566</v>
      </c>
      <c r="E13" s="1">
        <v>-1862</v>
      </c>
      <c r="F13" s="1">
        <v>-1294</v>
      </c>
      <c r="G13">
        <f t="shared" si="0"/>
        <v>-872.56725943274444</v>
      </c>
    </row>
    <row r="14" spans="1:7" x14ac:dyDescent="0.45">
      <c r="A14">
        <v>7</v>
      </c>
      <c r="B14">
        <v>2011</v>
      </c>
      <c r="C14" t="s">
        <v>17</v>
      </c>
      <c r="D14">
        <v>15480</v>
      </c>
      <c r="E14" s="1">
        <v>-2163</v>
      </c>
      <c r="F14" s="1">
        <v>-1454</v>
      </c>
      <c r="G14">
        <f t="shared" si="0"/>
        <v>-984.80114671189472</v>
      </c>
    </row>
    <row r="15" spans="1:7" x14ac:dyDescent="0.45">
      <c r="A15">
        <v>6</v>
      </c>
      <c r="B15">
        <v>2012</v>
      </c>
      <c r="C15" t="s">
        <v>18</v>
      </c>
      <c r="D15">
        <v>18057</v>
      </c>
      <c r="E15" s="1">
        <v>-2513</v>
      </c>
      <c r="F15" s="1">
        <v>-1633</v>
      </c>
      <c r="G15">
        <f t="shared" si="0"/>
        <v>-1111.4711079069718</v>
      </c>
    </row>
    <row r="16" spans="1:7" x14ac:dyDescent="0.45">
      <c r="A16">
        <v>5</v>
      </c>
      <c r="B16">
        <v>2013</v>
      </c>
      <c r="C16" t="s">
        <v>19</v>
      </c>
      <c r="D16">
        <v>20550</v>
      </c>
      <c r="E16" s="1">
        <v>-2920</v>
      </c>
      <c r="F16" s="1">
        <v>-1833</v>
      </c>
      <c r="G16">
        <f t="shared" si="0"/>
        <v>-1254.4339817603409</v>
      </c>
    </row>
    <row r="17" spans="1:7" x14ac:dyDescent="0.45">
      <c r="A17">
        <v>4</v>
      </c>
      <c r="B17">
        <v>2014</v>
      </c>
      <c r="C17" t="s">
        <v>20</v>
      </c>
      <c r="D17">
        <v>24152</v>
      </c>
      <c r="E17" s="1">
        <v>-3393</v>
      </c>
      <c r="F17" s="1">
        <v>-2059</v>
      </c>
      <c r="G17">
        <f t="shared" si="0"/>
        <v>-1415.7854427348832</v>
      </c>
    </row>
    <row r="18" spans="1:7" x14ac:dyDescent="0.45">
      <c r="A18">
        <v>3</v>
      </c>
      <c r="B18">
        <v>2015</v>
      </c>
      <c r="C18" t="s">
        <v>21</v>
      </c>
      <c r="D18">
        <v>27423</v>
      </c>
      <c r="E18" s="1">
        <v>-3942</v>
      </c>
      <c r="F18" s="1">
        <v>-2312</v>
      </c>
      <c r="G18">
        <f t="shared" si="0"/>
        <v>-1597.8907212376187</v>
      </c>
    </row>
    <row r="19" spans="1:7" x14ac:dyDescent="0.45">
      <c r="A19">
        <v>2</v>
      </c>
      <c r="B19">
        <v>2016</v>
      </c>
      <c r="C19" t="s">
        <v>22</v>
      </c>
      <c r="D19">
        <v>30596</v>
      </c>
      <c r="E19" s="1">
        <v>-4579</v>
      </c>
      <c r="F19" s="1">
        <v>-2596</v>
      </c>
      <c r="G19">
        <f t="shared" si="0"/>
        <v>-1803.4192752293995</v>
      </c>
    </row>
    <row r="20" spans="1:7" x14ac:dyDescent="0.45">
      <c r="A20">
        <v>1</v>
      </c>
      <c r="B20">
        <v>2017</v>
      </c>
      <c r="C20" t="s">
        <v>23</v>
      </c>
      <c r="D20">
        <v>34256</v>
      </c>
      <c r="E20" s="1">
        <v>-5321</v>
      </c>
      <c r="F20" s="1">
        <v>-2916</v>
      </c>
      <c r="G20">
        <f t="shared" si="0"/>
        <v>-2035.3839214673599</v>
      </c>
    </row>
    <row r="21" spans="1:7" x14ac:dyDescent="0.45">
      <c r="A21">
        <v>0</v>
      </c>
      <c r="B21">
        <v>2018</v>
      </c>
      <c r="C21" t="s">
        <v>24</v>
      </c>
      <c r="D21">
        <v>40972</v>
      </c>
      <c r="E21" s="1">
        <v>-6182</v>
      </c>
      <c r="F21" s="1">
        <v>-3274</v>
      </c>
      <c r="G21">
        <f t="shared" si="0"/>
        <v>-2297.1849999999999</v>
      </c>
    </row>
    <row r="24" spans="1:7" ht="28.5" x14ac:dyDescent="0.45">
      <c r="B24" s="2">
        <v>10</v>
      </c>
      <c r="C24">
        <v>2007</v>
      </c>
      <c r="D24" s="2" t="s">
        <v>25</v>
      </c>
      <c r="E24" s="3">
        <v>5774</v>
      </c>
      <c r="F24" s="4"/>
      <c r="G24" s="4"/>
    </row>
    <row r="25" spans="1:7" ht="28.5" x14ac:dyDescent="0.45">
      <c r="B25" s="2">
        <v>9</v>
      </c>
      <c r="C25">
        <v>2008</v>
      </c>
      <c r="D25" s="2" t="s">
        <v>26</v>
      </c>
      <c r="E25" s="3">
        <v>6248</v>
      </c>
      <c r="F25" s="4"/>
      <c r="G25" s="4"/>
    </row>
    <row r="26" spans="1:7" ht="28.5" x14ac:dyDescent="0.45">
      <c r="B26" s="2">
        <v>8</v>
      </c>
      <c r="C26">
        <v>2009</v>
      </c>
      <c r="D26" s="2" t="s">
        <v>27</v>
      </c>
      <c r="E26" s="3">
        <v>7374</v>
      </c>
      <c r="F26" s="4"/>
      <c r="G26" s="4"/>
    </row>
    <row r="27" spans="1:7" ht="28.5" x14ac:dyDescent="0.45">
      <c r="B27" s="2">
        <v>7</v>
      </c>
      <c r="C27">
        <v>2010</v>
      </c>
      <c r="D27" s="2" t="s">
        <v>28</v>
      </c>
      <c r="E27" s="3">
        <v>8239</v>
      </c>
      <c r="F27" s="4"/>
      <c r="G27" s="4"/>
    </row>
    <row r="28" spans="1:7" ht="28.5" x14ac:dyDescent="0.45">
      <c r="B28" s="2">
        <v>6</v>
      </c>
      <c r="C28">
        <v>2011</v>
      </c>
      <c r="D28" s="2" t="s">
        <v>29</v>
      </c>
      <c r="E28" s="3">
        <v>9086</v>
      </c>
      <c r="F28" s="4"/>
      <c r="G28" s="4"/>
    </row>
    <row r="29" spans="1:7" ht="28.5" x14ac:dyDescent="0.45">
      <c r="B29" s="2">
        <v>5</v>
      </c>
      <c r="C29">
        <v>2012</v>
      </c>
      <c r="D29" s="2" t="s">
        <v>30</v>
      </c>
      <c r="E29" s="3">
        <v>9881</v>
      </c>
      <c r="F29" s="4"/>
      <c r="G29" s="4"/>
    </row>
    <row r="30" spans="1:7" ht="28.5" x14ac:dyDescent="0.45">
      <c r="B30" s="2">
        <v>4</v>
      </c>
      <c r="C30">
        <v>2013</v>
      </c>
      <c r="D30" s="2" t="s">
        <v>31</v>
      </c>
      <c r="E30" s="3">
        <v>11188</v>
      </c>
      <c r="F30" s="4"/>
      <c r="G30" s="4"/>
    </row>
    <row r="31" spans="1:7" ht="28.5" x14ac:dyDescent="0.45">
      <c r="B31" s="2">
        <v>3</v>
      </c>
      <c r="C31">
        <v>2015</v>
      </c>
      <c r="D31" s="2" t="s">
        <v>32</v>
      </c>
      <c r="E31" s="3">
        <v>14258</v>
      </c>
      <c r="F31" s="4"/>
      <c r="G31" s="4"/>
    </row>
    <row r="32" spans="1:7" ht="28.5" x14ac:dyDescent="0.45">
      <c r="B32" s="2">
        <v>2</v>
      </c>
      <c r="C32">
        <v>2016</v>
      </c>
      <c r="D32" s="2" t="s">
        <v>33</v>
      </c>
      <c r="E32" s="3">
        <v>15151</v>
      </c>
      <c r="F32" s="4"/>
      <c r="G32" s="4"/>
    </row>
    <row r="33" spans="2:7" ht="28.5" x14ac:dyDescent="0.45">
      <c r="B33" s="2">
        <v>1</v>
      </c>
      <c r="C33">
        <v>2017</v>
      </c>
      <c r="D33" s="2" t="s">
        <v>34</v>
      </c>
      <c r="E33" s="3">
        <v>16770</v>
      </c>
      <c r="F33" s="4"/>
      <c r="G33" s="4"/>
    </row>
    <row r="34" spans="2:7" ht="28.5" x14ac:dyDescent="0.45">
      <c r="B34" s="2">
        <v>0</v>
      </c>
      <c r="C34">
        <v>2018</v>
      </c>
      <c r="D34" s="2" t="s">
        <v>35</v>
      </c>
      <c r="E34" s="3">
        <v>18737</v>
      </c>
      <c r="F34" s="4"/>
      <c r="G34" s="4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4" r:id="rId3" name="Control 10">
          <controlPr defaultSize="0" r:id="rId4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1</xdr:col>
                <xdr:colOff>261938</xdr:colOff>
                <xdr:row>33</xdr:row>
                <xdr:rowOff>276225</xdr:rowOff>
              </to>
            </anchor>
          </controlPr>
        </control>
      </mc:Choice>
      <mc:Fallback>
        <control shapeId="1034" r:id="rId3" name="Control 10"/>
      </mc:Fallback>
    </mc:AlternateContent>
    <mc:AlternateContent xmlns:mc="http://schemas.openxmlformats.org/markup-compatibility/2006">
      <mc:Choice Requires="x14">
        <control shapeId="1033" r:id="rId5" name="Control 9">
          <controlPr defaultSize="0" r:id="rId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1</xdr:col>
                <xdr:colOff>261938</xdr:colOff>
                <xdr:row>32</xdr:row>
                <xdr:rowOff>276225</xdr:rowOff>
              </to>
            </anchor>
          </controlPr>
        </control>
      </mc:Choice>
      <mc:Fallback>
        <control shapeId="1033" r:id="rId5" name="Control 9"/>
      </mc:Fallback>
    </mc:AlternateContent>
    <mc:AlternateContent xmlns:mc="http://schemas.openxmlformats.org/markup-compatibility/2006">
      <mc:Choice Requires="x14">
        <control shapeId="1032" r:id="rId6" name="Control 8">
          <controlPr defaultSize="0" r:id="rId7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1</xdr:col>
                <xdr:colOff>271463</xdr:colOff>
                <xdr:row>31</xdr:row>
                <xdr:rowOff>285750</xdr:rowOff>
              </to>
            </anchor>
          </controlPr>
        </control>
      </mc:Choice>
      <mc:Fallback>
        <control shapeId="1032" r:id="rId6" name="Control 8"/>
      </mc:Fallback>
    </mc:AlternateContent>
    <mc:AlternateContent xmlns:mc="http://schemas.openxmlformats.org/markup-compatibility/2006">
      <mc:Choice Requires="x14">
        <control shapeId="1031" r:id="rId8" name="Control 7">
          <controlPr defaultSize="0" r:id="rId4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1</xdr:col>
                <xdr:colOff>261938</xdr:colOff>
                <xdr:row>30</xdr:row>
                <xdr:rowOff>276225</xdr:rowOff>
              </to>
            </anchor>
          </controlPr>
        </control>
      </mc:Choice>
      <mc:Fallback>
        <control shapeId="1031" r:id="rId8" name="Control 7"/>
      </mc:Fallback>
    </mc:AlternateContent>
    <mc:AlternateContent xmlns:mc="http://schemas.openxmlformats.org/markup-compatibility/2006">
      <mc:Choice Requires="x14">
        <control shapeId="1030" r:id="rId9" name="Control 6">
          <controlPr defaultSize="0" r:id="rId10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1</xdr:col>
                <xdr:colOff>261938</xdr:colOff>
                <xdr:row>29</xdr:row>
                <xdr:rowOff>276225</xdr:rowOff>
              </to>
            </anchor>
          </controlPr>
        </control>
      </mc:Choice>
      <mc:Fallback>
        <control shapeId="1030" r:id="rId9" name="Control 6"/>
      </mc:Fallback>
    </mc:AlternateContent>
    <mc:AlternateContent xmlns:mc="http://schemas.openxmlformats.org/markup-compatibility/2006">
      <mc:Choice Requires="x14">
        <control shapeId="1029" r:id="rId11" name="Control 5">
          <controlPr defaultSize="0" r:id="rId1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1</xdr:col>
                <xdr:colOff>261938</xdr:colOff>
                <xdr:row>28</xdr:row>
                <xdr:rowOff>276225</xdr:rowOff>
              </to>
            </anchor>
          </controlPr>
        </control>
      </mc:Choice>
      <mc:Fallback>
        <control shapeId="1029" r:id="rId11" name="Control 5"/>
      </mc:Fallback>
    </mc:AlternateContent>
    <mc:AlternateContent xmlns:mc="http://schemas.openxmlformats.org/markup-compatibility/2006">
      <mc:Choice Requires="x14">
        <control shapeId="1028" r:id="rId12" name="Control 4">
          <controlPr defaultSize="0" r:id="rId1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1</xdr:col>
                <xdr:colOff>261938</xdr:colOff>
                <xdr:row>27</xdr:row>
                <xdr:rowOff>276225</xdr:rowOff>
              </to>
            </anchor>
          </controlPr>
        </control>
      </mc:Choice>
      <mc:Fallback>
        <control shapeId="1028" r:id="rId12" name="Control 4"/>
      </mc:Fallback>
    </mc:AlternateContent>
    <mc:AlternateContent xmlns:mc="http://schemas.openxmlformats.org/markup-compatibility/2006">
      <mc:Choice Requires="x14">
        <control shapeId="1027" r:id="rId13" name="Control 3">
          <controlPr defaultSize="0" r:id="rId10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1</xdr:col>
                <xdr:colOff>261938</xdr:colOff>
                <xdr:row>26</xdr:row>
                <xdr:rowOff>276225</xdr:rowOff>
              </to>
            </anchor>
          </controlPr>
        </control>
      </mc:Choice>
      <mc:Fallback>
        <control shapeId="1027" r:id="rId13" name="Control 3"/>
      </mc:Fallback>
    </mc:AlternateContent>
    <mc:AlternateContent xmlns:mc="http://schemas.openxmlformats.org/markup-compatibility/2006">
      <mc:Choice Requires="x14">
        <control shapeId="1026" r:id="rId14" name="Control 2">
          <controlPr defaultSize="0" r:id="rId10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1</xdr:col>
                <xdr:colOff>261938</xdr:colOff>
                <xdr:row>25</xdr:row>
                <xdr:rowOff>276225</xdr:rowOff>
              </to>
            </anchor>
          </controlPr>
        </control>
      </mc:Choice>
      <mc:Fallback>
        <control shapeId="1026" r:id="rId14" name="Control 2"/>
      </mc:Fallback>
    </mc:AlternateContent>
    <mc:AlternateContent xmlns:mc="http://schemas.openxmlformats.org/markup-compatibility/2006">
      <mc:Choice Requires="x14">
        <control shapeId="1025" r:id="rId15" name="Control 1">
          <controlPr defaultSiz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1</xdr:col>
                <xdr:colOff>271463</xdr:colOff>
                <xdr:row>24</xdr:row>
                <xdr:rowOff>285750</xdr:rowOff>
              </to>
            </anchor>
          </controlPr>
        </control>
      </mc:Choice>
      <mc:Fallback>
        <control shapeId="1025" r:id="rId15" name="Control 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HondaOdyssey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Mallory, Mindy L</dc:creator>
  <cp:lastModifiedBy>Mallory, Mindy L</cp:lastModifiedBy>
  <dcterms:created xsi:type="dcterms:W3CDTF">2017-11-19T16:10:57Z</dcterms:created>
  <dcterms:modified xsi:type="dcterms:W3CDTF">2017-11-19T16:10:57Z</dcterms:modified>
</cp:coreProperties>
</file>