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mallorym\Documents\GitHub\usedcarprices\"/>
    </mc:Choice>
  </mc:AlternateContent>
  <bookViews>
    <workbookView xWindow="0" yWindow="0" windowWidth="28800" windowHeight="11415"/>
  </bookViews>
  <sheets>
    <sheet name="HondaOdyssey" sheetId="1" r:id="rId1"/>
  </sheets>
  <calcPr calcId="162913"/>
</workbook>
</file>

<file path=xl/calcChain.xml><?xml version="1.0" encoding="utf-8"?>
<calcChain xmlns="http://schemas.openxmlformats.org/spreadsheetml/2006/main">
  <c r="J19" i="1" l="1"/>
  <c r="J20" i="1"/>
  <c r="J18" i="1"/>
  <c r="J17" i="1"/>
  <c r="J21" i="1"/>
  <c r="I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" i="1"/>
  <c r="I3" i="1" l="1"/>
  <c r="I4" i="1"/>
  <c r="I5" i="1"/>
  <c r="I6" i="1"/>
  <c r="I7" i="1"/>
  <c r="I9" i="1"/>
  <c r="I10" i="1"/>
  <c r="J10" i="1" s="1"/>
  <c r="I11" i="1"/>
  <c r="J11" i="1" s="1"/>
  <c r="I12" i="1"/>
  <c r="J12" i="1" s="1"/>
  <c r="I13" i="1"/>
  <c r="J13" i="1" s="1"/>
  <c r="I14" i="1"/>
  <c r="J14" i="1" s="1"/>
  <c r="I15" i="1"/>
  <c r="J15" i="1" s="1"/>
  <c r="I16" i="1"/>
  <c r="J16" i="1" s="1"/>
  <c r="I17" i="1"/>
  <c r="I18" i="1"/>
  <c r="I19" i="1"/>
  <c r="I20" i="1"/>
  <c r="I21" i="1"/>
  <c r="I2" i="1"/>
</calcChain>
</file>

<file path=xl/sharedStrings.xml><?xml version="1.0" encoding="utf-8"?>
<sst xmlns="http://schemas.openxmlformats.org/spreadsheetml/2006/main" count="40" uniqueCount="40">
  <si>
    <t>Year</t>
  </si>
  <si>
    <t>Desc</t>
  </si>
  <si>
    <t>AvePrice</t>
  </si>
  <si>
    <t>Odyssey Value Lost Per Year</t>
  </si>
  <si>
    <t>Forester Value Lost Per Year</t>
  </si>
  <si>
    <t>1999 Honda Odyssey</t>
  </si>
  <si>
    <t>2000 Honda Odyssey</t>
  </si>
  <si>
    <t>2001 Honda Odyssey</t>
  </si>
  <si>
    <t>2002 Honda Odyssey</t>
  </si>
  <si>
    <t>2003 Honda Odyssey</t>
  </si>
  <si>
    <t>2004 Honda Odyssey</t>
  </si>
  <si>
    <t>2005 Honda Odyssey</t>
  </si>
  <si>
    <t>2006 Honda Odyssey</t>
  </si>
  <si>
    <t>2007 Honda Odyssey</t>
  </si>
  <si>
    <t>2008 Honda Odyssey</t>
  </si>
  <si>
    <t>2009 Honda Odyssey</t>
  </si>
  <si>
    <t>2010 Honda Odyssey</t>
  </si>
  <si>
    <t>2011 Honda Odyssey</t>
  </si>
  <si>
    <t>2012 Honda Odyssey</t>
  </si>
  <si>
    <t>2013 Honda Odyssey</t>
  </si>
  <si>
    <t>2014 Honda Odyssey</t>
  </si>
  <si>
    <t>2015 Honda Odyssey</t>
  </si>
  <si>
    <t>2016 Honda Odyssey</t>
  </si>
  <si>
    <t>2017 Honda Odyssey</t>
  </si>
  <si>
    <t>2018 Honda Odyssey</t>
  </si>
  <si>
    <t>2007 Honda Fit</t>
  </si>
  <si>
    <t>2008 Honda Fit</t>
  </si>
  <si>
    <t>2009 Honda Fit</t>
  </si>
  <si>
    <t>2010 Honda Fit</t>
  </si>
  <si>
    <t>2011 Honda Fit</t>
  </si>
  <si>
    <t>2012 Honda Fit</t>
  </si>
  <si>
    <t>2013 Honda Fit</t>
  </si>
  <si>
    <t>2015 Honda Fit</t>
  </si>
  <si>
    <t>2016 Honda Fit</t>
  </si>
  <si>
    <t>2017 Honda Fit</t>
  </si>
  <si>
    <t>2018 Honda Fit</t>
  </si>
  <si>
    <t>Fit Value Lost Per Year</t>
  </si>
  <si>
    <t>Odyssey Percent Value Lost</t>
  </si>
  <si>
    <t>Forester Percent Value Lost</t>
  </si>
  <si>
    <t>Fit Percent Value Per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</si>
</sst>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6">
    <xf numFmtId="0" fontId="0" fillId="0" borderId="0" xfId="0"/>
    <xf numFmtId="6" fontId="0" fillId="0" borderId="0" xfId="0" applyNumberFormat="1"/>
    <xf numFmtId="0" fontId="0" fillId="0" borderId="0" xfId="0" applyAlignment="1">
      <alignment vertical="center" wrapText="1"/>
    </xf>
    <xf numFmtId="6" fontId="0" fillId="0" borderId="0" xfId="0" applyNumberFormat="1" applyAlignment="1">
      <alignment vertical="center" wrapText="1"/>
    </xf>
    <xf numFmtId="10" fontId="0" fillId="0" borderId="0" xfId="0" applyNumberFormat="1" applyAlignment="1">
      <alignment vertical="center" wrapText="1"/>
    </xf>
    <xf numFmtId="9" fontId="0" fillId="0" borderId="0" xfId="42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Lost Per Year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HondaOdyssey!$E$1</c:f>
              <c:strCache>
                <c:ptCount val="1"/>
                <c:pt idx="0">
                  <c:v>Odyssey Value Lost Per Year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HondaOdyssey!$A$2:$A$21</c:f>
              <c:numCache>
                <c:formatCode>General</c:formatCode>
                <c:ptCount val="20"/>
                <c:pt idx="0">
                  <c:v>19</c:v>
                </c:pt>
                <c:pt idx="1">
                  <c:v>18</c:v>
                </c:pt>
                <c:pt idx="2">
                  <c:v>17</c:v>
                </c:pt>
                <c:pt idx="3">
                  <c:v>16</c:v>
                </c:pt>
                <c:pt idx="4">
                  <c:v>15</c:v>
                </c:pt>
                <c:pt idx="5">
                  <c:v>14</c:v>
                </c:pt>
                <c:pt idx="6">
                  <c:v>13</c:v>
                </c:pt>
                <c:pt idx="7">
                  <c:v>12</c:v>
                </c:pt>
                <c:pt idx="8">
                  <c:v>11</c:v>
                </c:pt>
                <c:pt idx="9">
                  <c:v>10</c:v>
                </c:pt>
                <c:pt idx="10">
                  <c:v>9</c:v>
                </c:pt>
                <c:pt idx="11">
                  <c:v>8</c:v>
                </c:pt>
                <c:pt idx="12">
                  <c:v>7</c:v>
                </c:pt>
                <c:pt idx="13">
                  <c:v>6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HondaOdyssey!$E$2:$E$21</c:f>
              <c:numCache>
                <c:formatCode>"$"#,##0_);[Red]\("$"#,##0\)</c:formatCode>
                <c:ptCount val="20"/>
                <c:pt idx="0">
                  <c:v>-358</c:v>
                </c:pt>
                <c:pt idx="1">
                  <c:v>-415</c:v>
                </c:pt>
                <c:pt idx="2">
                  <c:v>-483</c:v>
                </c:pt>
                <c:pt idx="3">
                  <c:v>-561</c:v>
                </c:pt>
                <c:pt idx="4">
                  <c:v>-652</c:v>
                </c:pt>
                <c:pt idx="5">
                  <c:v>-757</c:v>
                </c:pt>
                <c:pt idx="6">
                  <c:v>-879</c:v>
                </c:pt>
                <c:pt idx="7">
                  <c:v>-1022</c:v>
                </c:pt>
                <c:pt idx="8">
                  <c:v>-1187</c:v>
                </c:pt>
                <c:pt idx="9">
                  <c:v>-1379</c:v>
                </c:pt>
                <c:pt idx="10">
                  <c:v>-1603</c:v>
                </c:pt>
                <c:pt idx="11">
                  <c:v>-1862</c:v>
                </c:pt>
                <c:pt idx="12">
                  <c:v>-2163</c:v>
                </c:pt>
                <c:pt idx="13">
                  <c:v>-2513</c:v>
                </c:pt>
                <c:pt idx="14">
                  <c:v>-2920</c:v>
                </c:pt>
                <c:pt idx="15">
                  <c:v>-3393</c:v>
                </c:pt>
                <c:pt idx="16">
                  <c:v>-3942</c:v>
                </c:pt>
                <c:pt idx="17">
                  <c:v>-4579</c:v>
                </c:pt>
                <c:pt idx="18">
                  <c:v>-5321</c:v>
                </c:pt>
                <c:pt idx="19">
                  <c:v>-6182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D7-451D-9761-799A07848911}"/>
            </c:ext>
          </c:extLst>
        </c:ser>
        <c:ser>
          <c:idx val="1"/>
          <c:order val="1"/>
          <c:tx>
            <c:strRef>
              <c:f>HondaOdyssey!$G$1</c:f>
              <c:strCache>
                <c:ptCount val="1"/>
                <c:pt idx="0">
                  <c:v>Forester Value Lost Per Year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HondaOdyssey!$A$2:$A$21</c:f>
              <c:numCache>
                <c:formatCode>General</c:formatCode>
                <c:ptCount val="20"/>
                <c:pt idx="0">
                  <c:v>19</c:v>
                </c:pt>
                <c:pt idx="1">
                  <c:v>18</c:v>
                </c:pt>
                <c:pt idx="2">
                  <c:v>17</c:v>
                </c:pt>
                <c:pt idx="3">
                  <c:v>16</c:v>
                </c:pt>
                <c:pt idx="4">
                  <c:v>15</c:v>
                </c:pt>
                <c:pt idx="5">
                  <c:v>14</c:v>
                </c:pt>
                <c:pt idx="6">
                  <c:v>13</c:v>
                </c:pt>
                <c:pt idx="7">
                  <c:v>12</c:v>
                </c:pt>
                <c:pt idx="8">
                  <c:v>11</c:v>
                </c:pt>
                <c:pt idx="9">
                  <c:v>10</c:v>
                </c:pt>
                <c:pt idx="10">
                  <c:v>9</c:v>
                </c:pt>
                <c:pt idx="11">
                  <c:v>8</c:v>
                </c:pt>
                <c:pt idx="12">
                  <c:v>7</c:v>
                </c:pt>
                <c:pt idx="13">
                  <c:v>6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HondaOdyssey!$G$2:$G$21</c:f>
              <c:numCache>
                <c:formatCode>"$"#,##0_);[Red]\("$"#,##0\)</c:formatCode>
                <c:ptCount val="20"/>
                <c:pt idx="0">
                  <c:v>-361</c:v>
                </c:pt>
                <c:pt idx="1">
                  <c:v>-406</c:v>
                </c:pt>
                <c:pt idx="2">
                  <c:v>-456</c:v>
                </c:pt>
                <c:pt idx="3">
                  <c:v>-512</c:v>
                </c:pt>
                <c:pt idx="4">
                  <c:v>-575</c:v>
                </c:pt>
                <c:pt idx="5">
                  <c:v>-645</c:v>
                </c:pt>
                <c:pt idx="6">
                  <c:v>-725</c:v>
                </c:pt>
                <c:pt idx="7">
                  <c:v>-814</c:v>
                </c:pt>
                <c:pt idx="8">
                  <c:v>-914</c:v>
                </c:pt>
                <c:pt idx="9">
                  <c:v>-1026</c:v>
                </c:pt>
                <c:pt idx="10">
                  <c:v>-1153</c:v>
                </c:pt>
                <c:pt idx="11">
                  <c:v>-1294</c:v>
                </c:pt>
                <c:pt idx="12">
                  <c:v>-1454</c:v>
                </c:pt>
                <c:pt idx="13">
                  <c:v>-1633</c:v>
                </c:pt>
                <c:pt idx="14">
                  <c:v>-1833</c:v>
                </c:pt>
                <c:pt idx="15">
                  <c:v>-2059</c:v>
                </c:pt>
                <c:pt idx="16">
                  <c:v>-2312</c:v>
                </c:pt>
                <c:pt idx="17">
                  <c:v>-2596</c:v>
                </c:pt>
                <c:pt idx="18">
                  <c:v>-2916</c:v>
                </c:pt>
                <c:pt idx="19">
                  <c:v>-3274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7-451D-9761-799A07848911}"/>
            </c:ext>
          </c:extLst>
        </c:ser>
        <c:ser>
          <c:idx val="2"/>
          <c:order val="2"/>
          <c:tx>
            <c:strRef>
              <c:f>HondaOdyssey!$I$1</c:f>
              <c:strCache>
                <c:ptCount val="1"/>
                <c:pt idx="0">
                  <c:v>Fit Value Lost Per Year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HondaOdyssey!$A$2:$A$21</c:f>
              <c:numCache>
                <c:formatCode>General</c:formatCode>
                <c:ptCount val="20"/>
                <c:pt idx="0">
                  <c:v>19</c:v>
                </c:pt>
                <c:pt idx="1">
                  <c:v>18</c:v>
                </c:pt>
                <c:pt idx="2">
                  <c:v>17</c:v>
                </c:pt>
                <c:pt idx="3">
                  <c:v>16</c:v>
                </c:pt>
                <c:pt idx="4">
                  <c:v>15</c:v>
                </c:pt>
                <c:pt idx="5">
                  <c:v>14</c:v>
                </c:pt>
                <c:pt idx="6">
                  <c:v>13</c:v>
                </c:pt>
                <c:pt idx="7">
                  <c:v>12</c:v>
                </c:pt>
                <c:pt idx="8">
                  <c:v>11</c:v>
                </c:pt>
                <c:pt idx="9">
                  <c:v>10</c:v>
                </c:pt>
                <c:pt idx="10">
                  <c:v>9</c:v>
                </c:pt>
                <c:pt idx="11">
                  <c:v>8</c:v>
                </c:pt>
                <c:pt idx="12">
                  <c:v>7</c:v>
                </c:pt>
                <c:pt idx="13">
                  <c:v>6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HondaOdyssey!$I$2:$I$21</c:f>
              <c:numCache>
                <c:formatCode>General</c:formatCode>
                <c:ptCount val="20"/>
                <c:pt idx="0">
                  <c:v>-230.54354022423735</c:v>
                </c:pt>
                <c:pt idx="1">
                  <c:v>-260.19718288243712</c:v>
                </c:pt>
                <c:pt idx="2">
                  <c:v>-293.66502272892041</c:v>
                </c:pt>
                <c:pt idx="3">
                  <c:v>-331.43766054278183</c:v>
                </c:pt>
                <c:pt idx="4">
                  <c:v>-374.0688005853346</c:v>
                </c:pt>
                <c:pt idx="5">
                  <c:v>-422.18336727998076</c:v>
                </c:pt>
                <c:pt idx="6">
                  <c:v>-476.4866658993185</c:v>
                </c:pt>
                <c:pt idx="7">
                  <c:v>-537.77472154482621</c:v>
                </c:pt>
                <c:pt idx="8">
                  <c:v>-606.94594797690229</c:v>
                </c:pt>
                <c:pt idx="9">
                  <c:v>-685.01431734714583</c:v>
                </c:pt>
                <c:pt idx="10">
                  <c:v>-773.12422388629841</c:v>
                </c:pt>
                <c:pt idx="11">
                  <c:v>-872.56725943274444</c:v>
                </c:pt>
                <c:pt idx="12">
                  <c:v>-984.80114671189472</c:v>
                </c:pt>
                <c:pt idx="13">
                  <c:v>-1111.4711079069718</c:v>
                </c:pt>
                <c:pt idx="14">
                  <c:v>-1254.4339817603409</c:v>
                </c:pt>
                <c:pt idx="15">
                  <c:v>-1415.7854427348832</c:v>
                </c:pt>
                <c:pt idx="16">
                  <c:v>-1597.8907212376187</c:v>
                </c:pt>
                <c:pt idx="17">
                  <c:v>-1803.4192752293995</c:v>
                </c:pt>
                <c:pt idx="18">
                  <c:v>-2035.3839214673599</c:v>
                </c:pt>
                <c:pt idx="19">
                  <c:v>-2297.1849999999999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D7-451D-9761-799A07848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426064"/>
        <c:axId val="1657415248"/>
      </c:scatterChart>
      <c:valAx>
        <c:axId val="1657426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415248"/>
        <c:crosses val="autoZero"/>
        <c:crossBetween val="midCat"/>
      </c:valAx>
      <c:valAx>
        <c:axId val="165741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426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0.41928010664846826"/>
                  <c:y val="-6.447124538942980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HondaOdyssey!$B$24:$B$34</c:f>
              <c:numCache>
                <c:formatCode>General</c:formatCode>
                <c:ptCount val="11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</c:numCache>
            </c:numRef>
          </c:xVal>
          <c:yVal>
            <c:numRef>
              <c:f>HondaOdyssey!$E$24:$E$34</c:f>
              <c:numCache>
                <c:formatCode>"$"#,##0_);[Red]\("$"#,##0\)</c:formatCode>
                <c:ptCount val="11"/>
                <c:pt idx="0">
                  <c:v>5774</c:v>
                </c:pt>
                <c:pt idx="1">
                  <c:v>6248</c:v>
                </c:pt>
                <c:pt idx="2">
                  <c:v>7374</c:v>
                </c:pt>
                <c:pt idx="3">
                  <c:v>8239</c:v>
                </c:pt>
                <c:pt idx="4">
                  <c:v>9086</c:v>
                </c:pt>
                <c:pt idx="5">
                  <c:v>9881</c:v>
                </c:pt>
                <c:pt idx="6">
                  <c:v>11188</c:v>
                </c:pt>
                <c:pt idx="7">
                  <c:v>14258</c:v>
                </c:pt>
                <c:pt idx="8">
                  <c:v>15151</c:v>
                </c:pt>
                <c:pt idx="9">
                  <c:v>16770</c:v>
                </c:pt>
                <c:pt idx="10">
                  <c:v>18737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1-4667-ABBE-5D08FC011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363168"/>
        <c:axId val="1501356928"/>
      </c:scatterChart>
      <c:valAx>
        <c:axId val="1501363168"/>
        <c:scaling>
          <c:orientation val="minMax"/>
        </c:scaling>
        <c:delete val="0"/>
        <c:axPos val="b"/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356928"/>
        <c:crosses val="autoZero"/>
        <c:crossBetween val="midCat"/>
      </c:valAx>
      <c:valAx>
        <c:axId val="15013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363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144628773170435"/>
          <c:y val="0.1807179183105658"/>
          <c:w val="0.31855371226829565"/>
          <c:h val="0.189658014680250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99781277340332"/>
          <c:y val="7.6423519976669588E-2"/>
          <c:w val="0.86003321253228315"/>
          <c:h val="0.55138523488662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HondaOdyssey!$F$1</c:f>
              <c:strCache>
                <c:ptCount val="1"/>
                <c:pt idx="0">
                  <c:v>Odyssey Percent Value Lost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HondaOdyssey!$A$2:$A$34</c:f>
              <c:numCache>
                <c:formatCode>General</c:formatCode>
                <c:ptCount val="33"/>
                <c:pt idx="0">
                  <c:v>19</c:v>
                </c:pt>
                <c:pt idx="1">
                  <c:v>18</c:v>
                </c:pt>
                <c:pt idx="2">
                  <c:v>17</c:v>
                </c:pt>
                <c:pt idx="3">
                  <c:v>16</c:v>
                </c:pt>
                <c:pt idx="4">
                  <c:v>15</c:v>
                </c:pt>
                <c:pt idx="5">
                  <c:v>14</c:v>
                </c:pt>
                <c:pt idx="6">
                  <c:v>13</c:v>
                </c:pt>
                <c:pt idx="7">
                  <c:v>12</c:v>
                </c:pt>
                <c:pt idx="8">
                  <c:v>11</c:v>
                </c:pt>
                <c:pt idx="9">
                  <c:v>10</c:v>
                </c:pt>
                <c:pt idx="10">
                  <c:v>9</c:v>
                </c:pt>
                <c:pt idx="11">
                  <c:v>8</c:v>
                </c:pt>
                <c:pt idx="12">
                  <c:v>7</c:v>
                </c:pt>
                <c:pt idx="13">
                  <c:v>6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HondaOdyssey!$F$2:$F$34</c:f>
              <c:numCache>
                <c:formatCode>0%</c:formatCode>
                <c:ptCount val="33"/>
                <c:pt idx="0">
                  <c:v>-0.12744749021003915</c:v>
                </c:pt>
                <c:pt idx="1">
                  <c:v>-0.14096467391304349</c:v>
                </c:pt>
                <c:pt idx="2">
                  <c:v>-0.13372093023255813</c:v>
                </c:pt>
                <c:pt idx="3">
                  <c:v>-0.16573116691285081</c:v>
                </c:pt>
                <c:pt idx="4">
                  <c:v>-0.17072532076459807</c:v>
                </c:pt>
                <c:pt idx="5">
                  <c:v>-0.17874852420306966</c:v>
                </c:pt>
                <c:pt idx="6">
                  <c:v>-0.15038494439692043</c:v>
                </c:pt>
                <c:pt idx="7">
                  <c:v>-0.15825332920408794</c:v>
                </c:pt>
                <c:pt idx="8">
                  <c:v>-0.15723936945290767</c:v>
                </c:pt>
                <c:pt idx="9">
                  <c:v>-0.1574740207833733</c:v>
                </c:pt>
                <c:pt idx="10">
                  <c:v>-0.16017186250999202</c:v>
                </c:pt>
                <c:pt idx="11">
                  <c:v>-0.16098910600034583</c:v>
                </c:pt>
                <c:pt idx="12">
                  <c:v>-0.13972868217054263</c:v>
                </c:pt>
                <c:pt idx="13">
                  <c:v>-0.13917040482915213</c:v>
                </c:pt>
                <c:pt idx="14">
                  <c:v>-0.14209245742092458</c:v>
                </c:pt>
                <c:pt idx="15">
                  <c:v>-0.14048526001987413</c:v>
                </c:pt>
                <c:pt idx="16">
                  <c:v>-0.14374794880210043</c:v>
                </c:pt>
                <c:pt idx="17">
                  <c:v>-0.149660086285789</c:v>
                </c:pt>
                <c:pt idx="18">
                  <c:v>-0.15533045305931809</c:v>
                </c:pt>
                <c:pt idx="19">
                  <c:v>-0.15088353021575709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36-40BE-B50C-022156FD9DDC}"/>
            </c:ext>
          </c:extLst>
        </c:ser>
        <c:ser>
          <c:idx val="1"/>
          <c:order val="1"/>
          <c:tx>
            <c:strRef>
              <c:f>HondaOdyssey!$H$1</c:f>
              <c:strCache>
                <c:ptCount val="1"/>
                <c:pt idx="0">
                  <c:v>Forester Percent Value Lost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HondaOdyssey!$A$2:$A$21</c:f>
              <c:numCache>
                <c:formatCode>General</c:formatCode>
                <c:ptCount val="20"/>
                <c:pt idx="0">
                  <c:v>19</c:v>
                </c:pt>
                <c:pt idx="1">
                  <c:v>18</c:v>
                </c:pt>
                <c:pt idx="2">
                  <c:v>17</c:v>
                </c:pt>
                <c:pt idx="3">
                  <c:v>16</c:v>
                </c:pt>
                <c:pt idx="4">
                  <c:v>15</c:v>
                </c:pt>
                <c:pt idx="5">
                  <c:v>14</c:v>
                </c:pt>
                <c:pt idx="6">
                  <c:v>13</c:v>
                </c:pt>
                <c:pt idx="7">
                  <c:v>12</c:v>
                </c:pt>
                <c:pt idx="8">
                  <c:v>11</c:v>
                </c:pt>
                <c:pt idx="9">
                  <c:v>10</c:v>
                </c:pt>
                <c:pt idx="10">
                  <c:v>9</c:v>
                </c:pt>
                <c:pt idx="11">
                  <c:v>8</c:v>
                </c:pt>
                <c:pt idx="12">
                  <c:v>7</c:v>
                </c:pt>
                <c:pt idx="13">
                  <c:v>6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HondaOdyssey!$H$2:$H$21</c:f>
              <c:numCache>
                <c:formatCode>0%</c:formatCode>
                <c:ptCount val="20"/>
                <c:pt idx="0">
                  <c:v>-9.0770660739236286E-2</c:v>
                </c:pt>
                <c:pt idx="1">
                  <c:v>-0.11903888026247679</c:v>
                </c:pt>
                <c:pt idx="2">
                  <c:v>-0.11537106417165878</c:v>
                </c:pt>
                <c:pt idx="3">
                  <c:v>-0.12021772465871622</c:v>
                </c:pt>
                <c:pt idx="4">
                  <c:v>-0.12124727096899844</c:v>
                </c:pt>
                <c:pt idx="5">
                  <c:v>-0.10819769924200827</c:v>
                </c:pt>
                <c:pt idx="6">
                  <c:v>-0.12067611102260005</c:v>
                </c:pt>
                <c:pt idx="7">
                  <c:v>-0.12168123185948664</c:v>
                </c:pt>
                <c:pt idx="8">
                  <c:v>-0.1286648745213578</c:v>
                </c:pt>
                <c:pt idx="9">
                  <c:v>-0.13367076880084683</c:v>
                </c:pt>
                <c:pt idx="10">
                  <c:v>-0.12303425232959926</c:v>
                </c:pt>
                <c:pt idx="11">
                  <c:v>-0.11880380183468395</c:v>
                </c:pt>
                <c:pt idx="12">
                  <c:v>-0.11667892182144113</c:v>
                </c:pt>
                <c:pt idx="13">
                  <c:v>-0.11530598366860263</c:v>
                </c:pt>
                <c:pt idx="14">
                  <c:v>-0.10851098777110543</c:v>
                </c:pt>
                <c:pt idx="15">
                  <c:v>-0.11399040068796652</c:v>
                </c:pt>
                <c:pt idx="16">
                  <c:v>-0.1126871445899887</c:v>
                </c:pt>
                <c:pt idx="17">
                  <c:v>-0.11286597399665364</c:v>
                </c:pt>
                <c:pt idx="18">
                  <c:v>-0.11126971145054422</c:v>
                </c:pt>
                <c:pt idx="19">
                  <c:v>-0.11176338874287471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36-40BE-B50C-022156FD9DDC}"/>
            </c:ext>
          </c:extLst>
        </c:ser>
        <c:ser>
          <c:idx val="2"/>
          <c:order val="2"/>
          <c:tx>
            <c:strRef>
              <c:f>HondaOdyssey!$J$1</c:f>
              <c:strCache>
                <c:ptCount val="1"/>
                <c:pt idx="0">
                  <c:v>Fit Percent Value Per Year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HondaOdyssey!$A$10:$A$20</c:f>
              <c:numCache>
                <c:formatCode>General</c:formatCode>
                <c:ptCount val="11"/>
                <c:pt idx="0">
                  <c:v>11</c:v>
                </c:pt>
                <c:pt idx="1">
                  <c:v>10</c:v>
                </c:pt>
                <c:pt idx="2">
                  <c:v>9</c:v>
                </c:pt>
                <c:pt idx="3">
                  <c:v>8</c:v>
                </c:pt>
                <c:pt idx="4">
                  <c:v>7</c:v>
                </c:pt>
                <c:pt idx="5">
                  <c:v>6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</c:numCache>
            </c:numRef>
          </c:xVal>
          <c:yVal>
            <c:numRef>
              <c:f>HondaOdyssey!$J$10:$J$21</c:f>
              <c:numCache>
                <c:formatCode>0%</c:formatCode>
                <c:ptCount val="12"/>
                <c:pt idx="0">
                  <c:v>-0.1051170675401632</c:v>
                </c:pt>
                <c:pt idx="1">
                  <c:v>-0.10963737473545868</c:v>
                </c:pt>
                <c:pt idx="2">
                  <c:v>-0.1048446194584077</c:v>
                </c:pt>
                <c:pt idx="3">
                  <c:v>-0.10590693766631198</c:v>
                </c:pt>
                <c:pt idx="4">
                  <c:v>-0.10838665493197168</c:v>
                </c:pt>
                <c:pt idx="5">
                  <c:v>-0.11248569050773928</c:v>
                </c:pt>
                <c:pt idx="6">
                  <c:v>-0.11212316604936905</c:v>
                </c:pt>
                <c:pt idx="7">
                  <c:v>-9.9297618371081725E-2</c:v>
                </c:pt>
                <c:pt idx="8">
                  <c:v>-0.11206976583234807</c:v>
                </c:pt>
                <c:pt idx="9">
                  <c:v>-0.11902971917559234</c:v>
                </c:pt>
                <c:pt idx="10">
                  <c:v>-0.12137053795273464</c:v>
                </c:pt>
                <c:pt idx="11">
                  <c:v>-0.12260153706569889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36-40BE-B50C-022156FD9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42863"/>
        <c:axId val="347843279"/>
      </c:scatterChart>
      <c:valAx>
        <c:axId val="3478428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843279"/>
        <c:crosses val="autoZero"/>
        <c:crossBetween val="midCat"/>
      </c:valAx>
      <c:valAx>
        <c:axId val="34784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842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42932627361696"/>
          <c:y val="0.69340978347276372"/>
          <c:w val="0.8609100000681309"/>
          <c:h val="0.252321975645719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390525</xdr:colOff>
      <xdr:row>2</xdr:row>
      <xdr:rowOff>157163</xdr:rowOff>
    </xdr:from>
    <xdr:to>
      <xdr:col>19</xdr:col>
      <xdr:colOff>259556</xdr:colOff>
      <xdr:row>25</xdr:row>
      <xdr:rowOff>311943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1</xdr:col>
          <xdr:colOff>252413</xdr:colOff>
          <xdr:row>24</xdr:row>
          <xdr:rowOff>266700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1</xdr:col>
          <xdr:colOff>252413</xdr:colOff>
          <xdr:row>25</xdr:row>
          <xdr:rowOff>266700</xdr:rowOff>
        </xdr:to>
        <xdr:sp macro="" textlink="">
          <xdr:nvSpPr>
            <xdr:cNvPr id="1026" name="Control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1</xdr:col>
          <xdr:colOff>252413</xdr:colOff>
          <xdr:row>26</xdr:row>
          <xdr:rowOff>266700</xdr:rowOff>
        </xdr:to>
        <xdr:sp macro="" textlink="">
          <xdr:nvSpPr>
            <xdr:cNvPr id="1027" name="Control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252413</xdr:colOff>
          <xdr:row>27</xdr:row>
          <xdr:rowOff>266700</xdr:rowOff>
        </xdr:to>
        <xdr:sp macro="" textlink="">
          <xdr:nvSpPr>
            <xdr:cNvPr id="1028" name="Control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1</xdr:col>
          <xdr:colOff>252413</xdr:colOff>
          <xdr:row>28</xdr:row>
          <xdr:rowOff>266700</xdr:rowOff>
        </xdr:to>
        <xdr:sp macro="" textlink="">
          <xdr:nvSpPr>
            <xdr:cNvPr id="1029" name="Control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1</xdr:col>
          <xdr:colOff>252413</xdr:colOff>
          <xdr:row>29</xdr:row>
          <xdr:rowOff>266700</xdr:rowOff>
        </xdr:to>
        <xdr:sp macro="" textlink="">
          <xdr:nvSpPr>
            <xdr:cNvPr id="1030" name="Control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1</xdr:col>
          <xdr:colOff>252413</xdr:colOff>
          <xdr:row>30</xdr:row>
          <xdr:rowOff>266700</xdr:rowOff>
        </xdr:to>
        <xdr:sp macro="" textlink="">
          <xdr:nvSpPr>
            <xdr:cNvPr id="1031" name="Control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1</xdr:col>
          <xdr:colOff>252413</xdr:colOff>
          <xdr:row>31</xdr:row>
          <xdr:rowOff>266700</xdr:rowOff>
        </xdr:to>
        <xdr:sp macro="" textlink="">
          <xdr:nvSpPr>
            <xdr:cNvPr id="1032" name="Control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1</xdr:col>
          <xdr:colOff>252413</xdr:colOff>
          <xdr:row>32</xdr:row>
          <xdr:rowOff>266700</xdr:rowOff>
        </xdr:to>
        <xdr:sp macro="" textlink="">
          <xdr:nvSpPr>
            <xdr:cNvPr id="1033" name="Control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1</xdr:col>
          <xdr:colOff>252413</xdr:colOff>
          <xdr:row>33</xdr:row>
          <xdr:rowOff>266700</xdr:rowOff>
        </xdr:to>
        <xdr:sp macro="" textlink="">
          <xdr:nvSpPr>
            <xdr:cNvPr id="1034" name="Control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20</xdr:col>
      <xdr:colOff>223838</xdr:colOff>
      <xdr:row>11</xdr:row>
      <xdr:rowOff>33339</xdr:rowOff>
    </xdr:from>
    <xdr:to>
      <xdr:col>28</xdr:col>
      <xdr:colOff>173831</xdr:colOff>
      <xdr:row>25</xdr:row>
      <xdr:rowOff>207169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316705</xdr:colOff>
      <xdr:row>26</xdr:row>
      <xdr:rowOff>159543</xdr:rowOff>
    </xdr:from>
    <xdr:to>
      <xdr:col>22</xdr:col>
      <xdr:colOff>90488</xdr:colOff>
      <xdr:row>42</xdr:row>
      <xdr:rowOff>42863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3.xml"/><Relationship Id="rId11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control" Target="../activeX/activeX7.xml"/><Relationship Id="rId4" Type="http://schemas.openxmlformats.org/officeDocument/2006/relationships/image" Target="../media/image1.emf"/><Relationship Id="rId9" Type="http://schemas.openxmlformats.org/officeDocument/2006/relationships/control" Target="../activeX/activeX6.xml"/><Relationship Id="rId1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4"/>
  <sheetViews>
    <sheetView tabSelected="1" topLeftCell="A19" workbookViewId="0">
      <selection activeCell="J44" sqref="J44"/>
    </sheetView>
  </sheetViews>
  <sheetFormatPr defaultRowHeight="14.25" x14ac:dyDescent="0.45"/>
  <cols>
    <col min="3" max="3" width="19.86328125" customWidth="1"/>
    <col min="5" max="6" width="15.33203125" customWidth="1"/>
  </cols>
  <sheetData>
    <row r="1" spans="1:10" x14ac:dyDescent="0.45">
      <c r="B1" t="s">
        <v>0</v>
      </c>
      <c r="C1" t="s">
        <v>1</v>
      </c>
      <c r="D1" t="s">
        <v>2</v>
      </c>
      <c r="E1" t="s">
        <v>3</v>
      </c>
      <c r="F1" t="s">
        <v>37</v>
      </c>
      <c r="G1" t="s">
        <v>4</v>
      </c>
      <c r="H1" t="s">
        <v>38</v>
      </c>
      <c r="I1" t="s">
        <v>36</v>
      </c>
      <c r="J1" t="s">
        <v>39</v>
      </c>
    </row>
    <row r="2" spans="1:10" x14ac:dyDescent="0.45">
      <c r="A2">
        <v>19</v>
      </c>
      <c r="B2">
        <v>1999</v>
      </c>
      <c r="C2" t="s">
        <v>5</v>
      </c>
      <c r="D2">
        <v>2809</v>
      </c>
      <c r="E2" s="1">
        <v>-358</v>
      </c>
      <c r="F2" s="5">
        <f>E2/D2</f>
        <v>-0.12744749021003915</v>
      </c>
      <c r="G2" s="1">
        <v>-361</v>
      </c>
      <c r="H2" s="5">
        <v>-9.0770660739236286E-2</v>
      </c>
      <c r="I2">
        <f>-0.121*18985*EXP(-0.121*A2)</f>
        <v>-230.54354022423735</v>
      </c>
      <c r="J2" s="5"/>
    </row>
    <row r="3" spans="1:10" x14ac:dyDescent="0.45">
      <c r="A3">
        <v>18</v>
      </c>
      <c r="B3">
        <v>2000</v>
      </c>
      <c r="C3" t="s">
        <v>6</v>
      </c>
      <c r="D3">
        <v>2944</v>
      </c>
      <c r="E3" s="1">
        <v>-415</v>
      </c>
      <c r="F3" s="5">
        <f t="shared" ref="F3:F21" si="0">E3/D3</f>
        <v>-0.14096467391304349</v>
      </c>
      <c r="G3" s="1">
        <v>-406</v>
      </c>
      <c r="H3" s="5">
        <v>-0.11903888026247679</v>
      </c>
      <c r="I3">
        <f t="shared" ref="I3:I21" si="1">-0.121*18985*EXP(-0.121*A3)</f>
        <v>-260.19718288243712</v>
      </c>
      <c r="J3" s="5"/>
    </row>
    <row r="4" spans="1:10" x14ac:dyDescent="0.45">
      <c r="A4">
        <v>17</v>
      </c>
      <c r="B4">
        <v>2001</v>
      </c>
      <c r="C4" t="s">
        <v>7</v>
      </c>
      <c r="D4">
        <v>3612</v>
      </c>
      <c r="E4" s="1">
        <v>-483</v>
      </c>
      <c r="F4" s="5">
        <f t="shared" si="0"/>
        <v>-0.13372093023255813</v>
      </c>
      <c r="G4" s="1">
        <v>-456</v>
      </c>
      <c r="H4" s="5">
        <v>-0.11537106417165878</v>
      </c>
      <c r="I4">
        <f t="shared" si="1"/>
        <v>-293.66502272892041</v>
      </c>
      <c r="J4" s="5"/>
    </row>
    <row r="5" spans="1:10" x14ac:dyDescent="0.45">
      <c r="A5">
        <v>16</v>
      </c>
      <c r="B5">
        <v>2002</v>
      </c>
      <c r="C5" t="s">
        <v>8</v>
      </c>
      <c r="D5">
        <v>3385</v>
      </c>
      <c r="E5" s="1">
        <v>-561</v>
      </c>
      <c r="F5" s="5">
        <f t="shared" si="0"/>
        <v>-0.16573116691285081</v>
      </c>
      <c r="G5" s="1">
        <v>-512</v>
      </c>
      <c r="H5" s="5">
        <v>-0.12021772465871622</v>
      </c>
      <c r="I5">
        <f t="shared" si="1"/>
        <v>-331.43766054278183</v>
      </c>
      <c r="J5" s="5"/>
    </row>
    <row r="6" spans="1:10" x14ac:dyDescent="0.45">
      <c r="A6">
        <v>15</v>
      </c>
      <c r="B6">
        <v>2003</v>
      </c>
      <c r="C6" t="s">
        <v>9</v>
      </c>
      <c r="D6">
        <v>3819</v>
      </c>
      <c r="E6" s="1">
        <v>-652</v>
      </c>
      <c r="F6" s="5">
        <f t="shared" si="0"/>
        <v>-0.17072532076459807</v>
      </c>
      <c r="G6" s="1">
        <v>-575</v>
      </c>
      <c r="H6" s="5">
        <v>-0.12124727096899844</v>
      </c>
      <c r="I6">
        <f t="shared" si="1"/>
        <v>-374.0688005853346</v>
      </c>
      <c r="J6" s="5"/>
    </row>
    <row r="7" spans="1:10" x14ac:dyDescent="0.45">
      <c r="A7">
        <v>14</v>
      </c>
      <c r="B7">
        <v>2004</v>
      </c>
      <c r="C7" t="s">
        <v>10</v>
      </c>
      <c r="D7">
        <v>4235</v>
      </c>
      <c r="E7" s="1">
        <v>-757</v>
      </c>
      <c r="F7" s="5">
        <f t="shared" si="0"/>
        <v>-0.17874852420306966</v>
      </c>
      <c r="G7" s="1">
        <v>-645</v>
      </c>
      <c r="H7" s="5">
        <v>-0.10819769924200827</v>
      </c>
      <c r="I7">
        <f t="shared" si="1"/>
        <v>-422.18336727998076</v>
      </c>
      <c r="J7" s="5"/>
    </row>
    <row r="8" spans="1:10" x14ac:dyDescent="0.45">
      <c r="A8">
        <v>13</v>
      </c>
      <c r="B8">
        <v>2005</v>
      </c>
      <c r="C8" t="s">
        <v>11</v>
      </c>
      <c r="D8">
        <v>5845</v>
      </c>
      <c r="E8" s="1">
        <v>-879</v>
      </c>
      <c r="F8" s="5">
        <f t="shared" si="0"/>
        <v>-0.15038494439692043</v>
      </c>
      <c r="G8" s="1">
        <v>-725</v>
      </c>
      <c r="H8" s="5">
        <v>-0.12067611102260005</v>
      </c>
      <c r="I8">
        <f>-0.121*18985*EXP(-0.121*A8)</f>
        <v>-476.4866658993185</v>
      </c>
      <c r="J8" s="5"/>
    </row>
    <row r="9" spans="1:10" x14ac:dyDescent="0.45">
      <c r="A9">
        <v>12</v>
      </c>
      <c r="B9">
        <v>2006</v>
      </c>
      <c r="C9" t="s">
        <v>12</v>
      </c>
      <c r="D9">
        <v>6458</v>
      </c>
      <c r="E9" s="1">
        <v>-1022</v>
      </c>
      <c r="F9" s="5">
        <f t="shared" si="0"/>
        <v>-0.15825332920408794</v>
      </c>
      <c r="G9" s="1">
        <v>-814</v>
      </c>
      <c r="H9" s="5">
        <v>-0.12168123185948664</v>
      </c>
      <c r="I9">
        <f t="shared" si="1"/>
        <v>-537.77472154482621</v>
      </c>
      <c r="J9" s="5"/>
    </row>
    <row r="10" spans="1:10" x14ac:dyDescent="0.45">
      <c r="A10">
        <v>11</v>
      </c>
      <c r="B10">
        <v>2007</v>
      </c>
      <c r="C10" t="s">
        <v>13</v>
      </c>
      <c r="D10">
        <v>7549</v>
      </c>
      <c r="E10" s="1">
        <v>-1187</v>
      </c>
      <c r="F10" s="5">
        <f t="shared" si="0"/>
        <v>-0.15723936945290767</v>
      </c>
      <c r="G10" s="1">
        <v>-914</v>
      </c>
      <c r="H10" s="5">
        <v>-0.1286648745213578</v>
      </c>
      <c r="I10">
        <f t="shared" si="1"/>
        <v>-606.94594797690229</v>
      </c>
      <c r="J10" s="5">
        <f>I10/E24</f>
        <v>-0.1051170675401632</v>
      </c>
    </row>
    <row r="11" spans="1:10" x14ac:dyDescent="0.45">
      <c r="A11">
        <v>10</v>
      </c>
      <c r="B11">
        <v>2008</v>
      </c>
      <c r="C11" t="s">
        <v>14</v>
      </c>
      <c r="D11">
        <v>8757</v>
      </c>
      <c r="E11" s="1">
        <v>-1379</v>
      </c>
      <c r="F11" s="5">
        <f t="shared" si="0"/>
        <v>-0.1574740207833733</v>
      </c>
      <c r="G11" s="1">
        <v>-1026</v>
      </c>
      <c r="H11" s="5">
        <v>-0.13367076880084683</v>
      </c>
      <c r="I11">
        <f t="shared" si="1"/>
        <v>-685.01431734714583</v>
      </c>
      <c r="J11" s="5">
        <f t="shared" ref="J11:J21" si="2">I11/E25</f>
        <v>-0.10963737473545868</v>
      </c>
    </row>
    <row r="12" spans="1:10" x14ac:dyDescent="0.45">
      <c r="A12">
        <v>9</v>
      </c>
      <c r="B12">
        <v>2009</v>
      </c>
      <c r="C12" t="s">
        <v>15</v>
      </c>
      <c r="D12">
        <v>10008</v>
      </c>
      <c r="E12" s="1">
        <v>-1603</v>
      </c>
      <c r="F12" s="5">
        <f t="shared" si="0"/>
        <v>-0.16017186250999202</v>
      </c>
      <c r="G12" s="1">
        <v>-1153</v>
      </c>
      <c r="H12" s="5">
        <v>-0.12303425232959926</v>
      </c>
      <c r="I12">
        <f t="shared" si="1"/>
        <v>-773.12422388629841</v>
      </c>
      <c r="J12" s="5">
        <f t="shared" si="2"/>
        <v>-0.1048446194584077</v>
      </c>
    </row>
    <row r="13" spans="1:10" x14ac:dyDescent="0.45">
      <c r="A13">
        <v>8</v>
      </c>
      <c r="B13">
        <v>2010</v>
      </c>
      <c r="C13" t="s">
        <v>16</v>
      </c>
      <c r="D13">
        <v>11566</v>
      </c>
      <c r="E13" s="1">
        <v>-1862</v>
      </c>
      <c r="F13" s="5">
        <f t="shared" si="0"/>
        <v>-0.16098910600034583</v>
      </c>
      <c r="G13" s="1">
        <v>-1294</v>
      </c>
      <c r="H13" s="5">
        <v>-0.11880380183468395</v>
      </c>
      <c r="I13">
        <f t="shared" si="1"/>
        <v>-872.56725943274444</v>
      </c>
      <c r="J13" s="5">
        <f t="shared" si="2"/>
        <v>-0.10590693766631198</v>
      </c>
    </row>
    <row r="14" spans="1:10" x14ac:dyDescent="0.45">
      <c r="A14">
        <v>7</v>
      </c>
      <c r="B14">
        <v>2011</v>
      </c>
      <c r="C14" t="s">
        <v>17</v>
      </c>
      <c r="D14">
        <v>15480</v>
      </c>
      <c r="E14" s="1">
        <v>-2163</v>
      </c>
      <c r="F14" s="5">
        <f t="shared" si="0"/>
        <v>-0.13972868217054263</v>
      </c>
      <c r="G14" s="1">
        <v>-1454</v>
      </c>
      <c r="H14" s="5">
        <v>-0.11667892182144113</v>
      </c>
      <c r="I14">
        <f t="shared" si="1"/>
        <v>-984.80114671189472</v>
      </c>
      <c r="J14" s="5">
        <f t="shared" si="2"/>
        <v>-0.10838665493197168</v>
      </c>
    </row>
    <row r="15" spans="1:10" x14ac:dyDescent="0.45">
      <c r="A15">
        <v>6</v>
      </c>
      <c r="B15">
        <v>2012</v>
      </c>
      <c r="C15" t="s">
        <v>18</v>
      </c>
      <c r="D15">
        <v>18057</v>
      </c>
      <c r="E15" s="1">
        <v>-2513</v>
      </c>
      <c r="F15" s="5">
        <f t="shared" si="0"/>
        <v>-0.13917040482915213</v>
      </c>
      <c r="G15" s="1">
        <v>-1633</v>
      </c>
      <c r="H15" s="5">
        <v>-0.11530598366860263</v>
      </c>
      <c r="I15">
        <f t="shared" si="1"/>
        <v>-1111.4711079069718</v>
      </c>
      <c r="J15" s="5">
        <f t="shared" si="2"/>
        <v>-0.11248569050773928</v>
      </c>
    </row>
    <row r="16" spans="1:10" x14ac:dyDescent="0.45">
      <c r="A16">
        <v>5</v>
      </c>
      <c r="B16">
        <v>2013</v>
      </c>
      <c r="C16" t="s">
        <v>19</v>
      </c>
      <c r="D16">
        <v>20550</v>
      </c>
      <c r="E16" s="1">
        <v>-2920</v>
      </c>
      <c r="F16" s="5">
        <f t="shared" si="0"/>
        <v>-0.14209245742092458</v>
      </c>
      <c r="G16" s="1">
        <v>-1833</v>
      </c>
      <c r="H16" s="5">
        <v>-0.10851098777110543</v>
      </c>
      <c r="I16">
        <f t="shared" si="1"/>
        <v>-1254.4339817603409</v>
      </c>
      <c r="J16" s="5">
        <f t="shared" si="2"/>
        <v>-0.11212316604936905</v>
      </c>
    </row>
    <row r="17" spans="1:10" x14ac:dyDescent="0.45">
      <c r="A17">
        <v>4</v>
      </c>
      <c r="B17">
        <v>2014</v>
      </c>
      <c r="C17" t="s">
        <v>20</v>
      </c>
      <c r="D17">
        <v>24152</v>
      </c>
      <c r="E17" s="1">
        <v>-3393</v>
      </c>
      <c r="F17" s="5">
        <f t="shared" si="0"/>
        <v>-0.14048526001987413</v>
      </c>
      <c r="G17" s="1">
        <v>-2059</v>
      </c>
      <c r="H17" s="5">
        <v>-0.11399040068796652</v>
      </c>
      <c r="I17">
        <f t="shared" si="1"/>
        <v>-1415.7854427348832</v>
      </c>
      <c r="J17" s="5">
        <f>I17/E31</f>
        <v>-9.9297618371081725E-2</v>
      </c>
    </row>
    <row r="18" spans="1:10" x14ac:dyDescent="0.45">
      <c r="A18">
        <v>3</v>
      </c>
      <c r="B18">
        <v>2015</v>
      </c>
      <c r="C18" t="s">
        <v>21</v>
      </c>
      <c r="D18">
        <v>27423</v>
      </c>
      <c r="E18" s="1">
        <v>-3942</v>
      </c>
      <c r="F18" s="5">
        <f t="shared" si="0"/>
        <v>-0.14374794880210043</v>
      </c>
      <c r="G18" s="1">
        <v>-2312</v>
      </c>
      <c r="H18" s="5">
        <v>-0.1126871445899887</v>
      </c>
      <c r="I18">
        <f t="shared" si="1"/>
        <v>-1597.8907212376187</v>
      </c>
      <c r="J18" s="5">
        <f>I18/E31</f>
        <v>-0.11206976583234807</v>
      </c>
    </row>
    <row r="19" spans="1:10" x14ac:dyDescent="0.45">
      <c r="A19">
        <v>2</v>
      </c>
      <c r="B19">
        <v>2016</v>
      </c>
      <c r="C19" t="s">
        <v>22</v>
      </c>
      <c r="D19">
        <v>30596</v>
      </c>
      <c r="E19" s="1">
        <v>-4579</v>
      </c>
      <c r="F19" s="5">
        <f t="shared" si="0"/>
        <v>-0.149660086285789</v>
      </c>
      <c r="G19" s="1">
        <v>-2596</v>
      </c>
      <c r="H19" s="5">
        <v>-0.11286597399665364</v>
      </c>
      <c r="I19">
        <f t="shared" si="1"/>
        <v>-1803.4192752293995</v>
      </c>
      <c r="J19" s="5">
        <f>I19/E32</f>
        <v>-0.11902971917559234</v>
      </c>
    </row>
    <row r="20" spans="1:10" x14ac:dyDescent="0.45">
      <c r="A20">
        <v>1</v>
      </c>
      <c r="B20">
        <v>2017</v>
      </c>
      <c r="C20" t="s">
        <v>23</v>
      </c>
      <c r="D20">
        <v>34256</v>
      </c>
      <c r="E20" s="1">
        <v>-5321</v>
      </c>
      <c r="F20" s="5">
        <f t="shared" si="0"/>
        <v>-0.15533045305931809</v>
      </c>
      <c r="G20" s="1">
        <v>-2916</v>
      </c>
      <c r="H20" s="5">
        <v>-0.11126971145054422</v>
      </c>
      <c r="I20">
        <f t="shared" si="1"/>
        <v>-2035.3839214673599</v>
      </c>
      <c r="J20" s="5">
        <f t="shared" ref="J19:J20" si="3">I20/E33</f>
        <v>-0.12137053795273464</v>
      </c>
    </row>
    <row r="21" spans="1:10" x14ac:dyDescent="0.45">
      <c r="A21">
        <v>0</v>
      </c>
      <c r="B21">
        <v>2018</v>
      </c>
      <c r="C21" t="s">
        <v>24</v>
      </c>
      <c r="D21">
        <v>40972</v>
      </c>
      <c r="E21" s="1">
        <v>-6182</v>
      </c>
      <c r="F21" s="5">
        <f t="shared" si="0"/>
        <v>-0.15088353021575709</v>
      </c>
      <c r="G21" s="1">
        <v>-3274</v>
      </c>
      <c r="H21" s="5">
        <v>-0.11176338874287471</v>
      </c>
      <c r="I21">
        <f t="shared" si="1"/>
        <v>-2297.1849999999999</v>
      </c>
      <c r="J21" s="5">
        <f>I21/E34</f>
        <v>-0.12260153706569889</v>
      </c>
    </row>
    <row r="24" spans="1:10" ht="28.5" x14ac:dyDescent="0.45">
      <c r="B24" s="2">
        <v>10</v>
      </c>
      <c r="C24">
        <v>2007</v>
      </c>
      <c r="D24" s="2" t="s">
        <v>25</v>
      </c>
      <c r="E24" s="3">
        <v>5774</v>
      </c>
      <c r="F24" s="3"/>
      <c r="G24" s="4"/>
      <c r="H24" s="4"/>
      <c r="I24" s="4"/>
    </row>
    <row r="25" spans="1:10" ht="28.5" x14ac:dyDescent="0.45">
      <c r="B25" s="2">
        <v>9</v>
      </c>
      <c r="C25">
        <v>2008</v>
      </c>
      <c r="D25" s="2" t="s">
        <v>26</v>
      </c>
      <c r="E25" s="3">
        <v>6248</v>
      </c>
      <c r="F25" s="3"/>
      <c r="G25" s="4"/>
      <c r="H25" s="4"/>
      <c r="I25" s="4"/>
    </row>
    <row r="26" spans="1:10" ht="28.5" x14ac:dyDescent="0.45">
      <c r="B26" s="2">
        <v>8</v>
      </c>
      <c r="C26">
        <v>2009</v>
      </c>
      <c r="D26" s="2" t="s">
        <v>27</v>
      </c>
      <c r="E26" s="3">
        <v>7374</v>
      </c>
      <c r="F26" s="3"/>
      <c r="G26" s="4"/>
      <c r="H26" s="4"/>
      <c r="I26" s="4"/>
    </row>
    <row r="27" spans="1:10" ht="28.5" x14ac:dyDescent="0.45">
      <c r="B27" s="2">
        <v>7</v>
      </c>
      <c r="C27">
        <v>2010</v>
      </c>
      <c r="D27" s="2" t="s">
        <v>28</v>
      </c>
      <c r="E27" s="3">
        <v>8239</v>
      </c>
      <c r="F27" s="3"/>
      <c r="G27" s="4"/>
      <c r="H27" s="4"/>
      <c r="I27" s="4"/>
    </row>
    <row r="28" spans="1:10" ht="28.5" x14ac:dyDescent="0.45">
      <c r="B28" s="2">
        <v>6</v>
      </c>
      <c r="C28">
        <v>2011</v>
      </c>
      <c r="D28" s="2" t="s">
        <v>29</v>
      </c>
      <c r="E28" s="3">
        <v>9086</v>
      </c>
      <c r="F28" s="3"/>
      <c r="G28" s="4"/>
      <c r="H28" s="4"/>
      <c r="I28" s="4"/>
    </row>
    <row r="29" spans="1:10" ht="28.5" x14ac:dyDescent="0.45">
      <c r="B29" s="2">
        <v>5</v>
      </c>
      <c r="C29">
        <v>2012</v>
      </c>
      <c r="D29" s="2" t="s">
        <v>30</v>
      </c>
      <c r="E29" s="3">
        <v>9881</v>
      </c>
      <c r="F29" s="3"/>
      <c r="G29" s="4"/>
      <c r="H29" s="4"/>
      <c r="I29" s="4"/>
    </row>
    <row r="30" spans="1:10" ht="28.5" x14ac:dyDescent="0.45">
      <c r="B30" s="2">
        <v>4</v>
      </c>
      <c r="C30">
        <v>2013</v>
      </c>
      <c r="D30" s="2" t="s">
        <v>31</v>
      </c>
      <c r="E30" s="3">
        <v>11188</v>
      </c>
      <c r="F30" s="3"/>
      <c r="G30" s="4"/>
      <c r="H30" s="4"/>
      <c r="I30" s="4"/>
    </row>
    <row r="31" spans="1:10" ht="28.5" x14ac:dyDescent="0.45">
      <c r="B31" s="2">
        <v>3</v>
      </c>
      <c r="C31">
        <v>2015</v>
      </c>
      <c r="D31" s="2" t="s">
        <v>32</v>
      </c>
      <c r="E31" s="3">
        <v>14258</v>
      </c>
      <c r="F31" s="3"/>
      <c r="G31" s="4"/>
      <c r="H31" s="4"/>
      <c r="I31" s="4"/>
    </row>
    <row r="32" spans="1:10" ht="28.5" x14ac:dyDescent="0.45">
      <c r="B32" s="2">
        <v>2</v>
      </c>
      <c r="C32">
        <v>2016</v>
      </c>
      <c r="D32" s="2" t="s">
        <v>33</v>
      </c>
      <c r="E32" s="3">
        <v>15151</v>
      </c>
      <c r="F32" s="3"/>
      <c r="G32" s="4"/>
      <c r="H32" s="4"/>
      <c r="I32" s="4"/>
    </row>
    <row r="33" spans="2:9" ht="28.5" x14ac:dyDescent="0.45">
      <c r="B33" s="2">
        <v>1</v>
      </c>
      <c r="C33">
        <v>2017</v>
      </c>
      <c r="D33" s="2" t="s">
        <v>34</v>
      </c>
      <c r="E33" s="3">
        <v>16770</v>
      </c>
      <c r="F33" s="3"/>
      <c r="G33" s="4"/>
      <c r="H33" s="4"/>
      <c r="I33" s="4"/>
    </row>
    <row r="34" spans="2:9" ht="28.5" x14ac:dyDescent="0.45">
      <c r="B34" s="2">
        <v>0</v>
      </c>
      <c r="C34">
        <v>2018</v>
      </c>
      <c r="D34" s="2" t="s">
        <v>35</v>
      </c>
      <c r="E34" s="3">
        <v>18737</v>
      </c>
      <c r="F34" s="3"/>
      <c r="G34" s="4"/>
      <c r="H34" s="4"/>
      <c r="I34" s="4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ntrol 1">
          <controlPr defaultSize="0" r:id="rId4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1</xdr:col>
                <xdr:colOff>261938</xdr:colOff>
                <xdr:row>24</xdr:row>
                <xdr:rowOff>276225</xdr:rowOff>
              </to>
            </anchor>
          </controlPr>
        </control>
      </mc:Choice>
      <mc:Fallback>
        <control shapeId="1025" r:id="rId3" name="Control 1"/>
      </mc:Fallback>
    </mc:AlternateContent>
    <mc:AlternateContent xmlns:mc="http://schemas.openxmlformats.org/markup-compatibility/2006">
      <mc:Choice Requires="x14">
        <control shapeId="1026" r:id="rId5" name="Control 2">
          <controlPr defaultSize="0" r:id="rId4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1</xdr:col>
                <xdr:colOff>261938</xdr:colOff>
                <xdr:row>25</xdr:row>
                <xdr:rowOff>276225</xdr:rowOff>
              </to>
            </anchor>
          </controlPr>
        </control>
      </mc:Choice>
      <mc:Fallback>
        <control shapeId="1026" r:id="rId5" name="Control 2"/>
      </mc:Fallback>
    </mc:AlternateContent>
    <mc:AlternateContent xmlns:mc="http://schemas.openxmlformats.org/markup-compatibility/2006">
      <mc:Choice Requires="x14">
        <control shapeId="1027" r:id="rId6" name="Control 3">
          <controlPr defaultSize="0" r:id="rId4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1</xdr:col>
                <xdr:colOff>261938</xdr:colOff>
                <xdr:row>26</xdr:row>
                <xdr:rowOff>276225</xdr:rowOff>
              </to>
            </anchor>
          </controlPr>
        </control>
      </mc:Choice>
      <mc:Fallback>
        <control shapeId="1027" r:id="rId6" name="Control 3"/>
      </mc:Fallback>
    </mc:AlternateContent>
    <mc:AlternateContent xmlns:mc="http://schemas.openxmlformats.org/markup-compatibility/2006">
      <mc:Choice Requires="x14">
        <control shapeId="1028" r:id="rId7" name="Control 4">
          <controlPr defaultSize="0" r:id="rId4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261938</xdr:colOff>
                <xdr:row>27</xdr:row>
                <xdr:rowOff>276225</xdr:rowOff>
              </to>
            </anchor>
          </controlPr>
        </control>
      </mc:Choice>
      <mc:Fallback>
        <control shapeId="1028" r:id="rId7" name="Control 4"/>
      </mc:Fallback>
    </mc:AlternateContent>
    <mc:AlternateContent xmlns:mc="http://schemas.openxmlformats.org/markup-compatibility/2006">
      <mc:Choice Requires="x14">
        <control shapeId="1029" r:id="rId8" name="Control 5">
          <controlPr defaultSize="0" r:id="rId4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1</xdr:col>
                <xdr:colOff>261938</xdr:colOff>
                <xdr:row>28</xdr:row>
                <xdr:rowOff>276225</xdr:rowOff>
              </to>
            </anchor>
          </controlPr>
        </control>
      </mc:Choice>
      <mc:Fallback>
        <control shapeId="1029" r:id="rId8" name="Control 5"/>
      </mc:Fallback>
    </mc:AlternateContent>
    <mc:AlternateContent xmlns:mc="http://schemas.openxmlformats.org/markup-compatibility/2006">
      <mc:Choice Requires="x14">
        <control shapeId="1030" r:id="rId9" name="Control 6">
          <controlPr defaultSize="0" r:id="rId4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1</xdr:col>
                <xdr:colOff>261938</xdr:colOff>
                <xdr:row>29</xdr:row>
                <xdr:rowOff>276225</xdr:rowOff>
              </to>
            </anchor>
          </controlPr>
        </control>
      </mc:Choice>
      <mc:Fallback>
        <control shapeId="1030" r:id="rId9" name="Control 6"/>
      </mc:Fallback>
    </mc:AlternateContent>
    <mc:AlternateContent xmlns:mc="http://schemas.openxmlformats.org/markup-compatibility/2006">
      <mc:Choice Requires="x14">
        <control shapeId="1031" r:id="rId10" name="Control 7">
          <controlPr defaultSize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1</xdr:col>
                <xdr:colOff>261938</xdr:colOff>
                <xdr:row>30</xdr:row>
                <xdr:rowOff>276225</xdr:rowOff>
              </to>
            </anchor>
          </controlPr>
        </control>
      </mc:Choice>
      <mc:Fallback>
        <control shapeId="1031" r:id="rId10" name="Control 7"/>
      </mc:Fallback>
    </mc:AlternateContent>
    <mc:AlternateContent xmlns:mc="http://schemas.openxmlformats.org/markup-compatibility/2006">
      <mc:Choice Requires="x14">
        <control shapeId="1032" r:id="rId12" name="Control 8">
          <controlPr defaultSize="0" r:id="rId4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1</xdr:col>
                <xdr:colOff>261938</xdr:colOff>
                <xdr:row>31</xdr:row>
                <xdr:rowOff>276225</xdr:rowOff>
              </to>
            </anchor>
          </controlPr>
        </control>
      </mc:Choice>
      <mc:Fallback>
        <control shapeId="1032" r:id="rId12" name="Control 8"/>
      </mc:Fallback>
    </mc:AlternateContent>
    <mc:AlternateContent xmlns:mc="http://schemas.openxmlformats.org/markup-compatibility/2006">
      <mc:Choice Requires="x14">
        <control shapeId="1033" r:id="rId13" name="Control 9">
          <controlPr defaultSize="0" r:id="rId11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1</xdr:col>
                <xdr:colOff>261938</xdr:colOff>
                <xdr:row>32</xdr:row>
                <xdr:rowOff>276225</xdr:rowOff>
              </to>
            </anchor>
          </controlPr>
        </control>
      </mc:Choice>
      <mc:Fallback>
        <control shapeId="1033" r:id="rId13" name="Control 9"/>
      </mc:Fallback>
    </mc:AlternateContent>
    <mc:AlternateContent xmlns:mc="http://schemas.openxmlformats.org/markup-compatibility/2006">
      <mc:Choice Requires="x14">
        <control shapeId="1034" r:id="rId14" name="Control 10">
          <controlPr defaultSize="0" r:id="rId11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1</xdr:col>
                <xdr:colOff>261938</xdr:colOff>
                <xdr:row>33</xdr:row>
                <xdr:rowOff>276225</xdr:rowOff>
              </to>
            </anchor>
          </controlPr>
        </control>
      </mc:Choice>
      <mc:Fallback>
        <control shapeId="1034" r:id="rId14" name="Control 10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HondaOdyssey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Mallory, Mindy L</dc:creator>
  <cp:lastModifiedBy>Mallory, Mindy L</cp:lastModifiedBy>
  <dcterms:created xsi:type="dcterms:W3CDTF">2017-11-19T16:10:57Z</dcterms:created>
  <dcterms:modified xsi:type="dcterms:W3CDTF">2017-11-19T16:37:55Z</dcterms:modified>
</cp:coreProperties>
</file>